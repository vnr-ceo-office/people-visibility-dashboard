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vhplit.sharepoint.com/sites/PowerBIDashboard/Shared Documents/10. People Visibility/Data File/"/>
    </mc:Choice>
  </mc:AlternateContent>
  <xr:revisionPtr revIDLastSave="118" documentId="13_ncr:1_{B78917E3-6566-47CB-B7F5-658F7438F20C}" xr6:coauthVersionLast="47" xr6:coauthVersionMax="47" xr10:uidLastSave="{4DCA2CBC-D4A2-48C4-938C-D7355816335A}"/>
  <bookViews>
    <workbookView xWindow="-110" yWindow="-110" windowWidth="19420" windowHeight="11500" tabRatio="664" firstSheet="1" activeTab="1" xr2:uid="{00000000-000D-0000-FFFF-FFFF00000000}"/>
  </bookViews>
  <sheets>
    <sheet name="Delete" sheetId="23" state="hidden" r:id="rId1"/>
    <sheet name="Project wise Allocation" sheetId="24" r:id="rId2"/>
    <sheet name="Project Dates" sheetId="14" r:id="rId3"/>
    <sheet name="Team per Project" sheetId="3" state="hidden" r:id="rId4"/>
    <sheet name="Emp Master" sheetId="21" r:id="rId5"/>
  </sheets>
  <definedNames>
    <definedName name="_xlnm._FilterDatabase" localSheetId="0" hidden="1">Delete!$A$1:$AK$106</definedName>
    <definedName name="_xlnm._FilterDatabase" localSheetId="4" hidden="1">'Emp Master'!$A$1:$G$105</definedName>
    <definedName name="_xlnm._FilterDatabase" localSheetId="2" hidden="1">'Project Dates'!$A$3:$E$40</definedName>
    <definedName name="_xlnm._FilterDatabase" localSheetId="1" hidden="1">'Project wise Allocation'!$A$1:$AK$106</definedName>
    <definedName name="_xlnm._FilterDatabase" localSheetId="3" hidden="1">'Team per Project'!$A$1:$H$154</definedName>
  </definedNames>
  <calcPr calcId="191028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4" l="1" a="1"/>
  <c r="A148" i="3"/>
  <c r="A149" i="3" s="1"/>
  <c r="A151" i="3" s="1"/>
  <c r="A152" i="3" s="1"/>
  <c r="A142" i="3"/>
  <c r="A143" i="3" s="1"/>
  <c r="A144" i="3" s="1"/>
  <c r="A129" i="3"/>
  <c r="A130" i="3" s="1"/>
  <c r="A131" i="3" s="1"/>
  <c r="A132" i="3" s="1"/>
  <c r="A126" i="3"/>
  <c r="A127" i="3" s="1"/>
  <c r="A123" i="3"/>
  <c r="A124" i="3" s="1"/>
  <c r="A119" i="3"/>
  <c r="A120" i="3" s="1"/>
  <c r="A121" i="3" s="1"/>
  <c r="A115" i="3"/>
  <c r="A116" i="3" s="1"/>
  <c r="A117" i="3" s="1"/>
  <c r="A110" i="3"/>
  <c r="A111" i="3" s="1"/>
  <c r="A112" i="3" s="1"/>
  <c r="A113" i="3" s="1"/>
  <c r="A104" i="3"/>
  <c r="A105" i="3" s="1"/>
  <c r="A106" i="3" s="1"/>
  <c r="A107" i="3" s="1"/>
  <c r="A108" i="3" s="1"/>
  <c r="A99" i="3"/>
  <c r="A100" i="3" s="1"/>
  <c r="A101" i="3" s="1"/>
  <c r="A102" i="3" s="1"/>
  <c r="A93" i="3"/>
  <c r="A94" i="3" s="1"/>
  <c r="A95" i="3" s="1"/>
  <c r="A96" i="3" s="1"/>
  <c r="A97" i="3" s="1"/>
  <c r="A87" i="3"/>
  <c r="A88" i="3" s="1"/>
  <c r="A89" i="3" s="1"/>
  <c r="A91" i="3" s="1"/>
  <c r="A82" i="3"/>
  <c r="A83" i="3" s="1"/>
  <c r="A84" i="3" s="1"/>
  <c r="A85" i="3" s="1"/>
  <c r="A74" i="3"/>
  <c r="A75" i="3" s="1"/>
  <c r="A76" i="3" s="1"/>
  <c r="A77" i="3" s="1"/>
  <c r="A78" i="3" s="1"/>
  <c r="A79" i="3" s="1"/>
  <c r="A80" i="3" s="1"/>
  <c r="A71" i="3"/>
  <c r="A72" i="3" s="1"/>
  <c r="A66" i="3"/>
  <c r="A67" i="3" s="1"/>
  <c r="A68" i="3" s="1"/>
  <c r="A69" i="3" s="1"/>
  <c r="A64" i="3"/>
  <c r="A60" i="3"/>
  <c r="A61" i="3" s="1"/>
  <c r="A62" i="3" s="1"/>
  <c r="A56" i="3"/>
  <c r="A57" i="3" s="1"/>
  <c r="A58" i="3" s="1"/>
  <c r="A52" i="3"/>
  <c r="A53" i="3" s="1"/>
  <c r="A54" i="3" s="1"/>
  <c r="A46" i="3"/>
  <c r="A47" i="3" s="1"/>
  <c r="A48" i="3" s="1"/>
  <c r="A49" i="3" s="1"/>
  <c r="A50" i="3" s="1"/>
  <c r="A44" i="3"/>
  <c r="A42" i="3"/>
  <c r="A37" i="3"/>
  <c r="A38" i="3" s="1"/>
  <c r="A39" i="3" s="1"/>
  <c r="A40" i="3" s="1"/>
  <c r="A33" i="3"/>
  <c r="A34" i="3" s="1"/>
  <c r="A35" i="3" s="1"/>
  <c r="A28" i="3"/>
  <c r="A29" i="3" s="1"/>
  <c r="A30" i="3" s="1"/>
  <c r="A31" i="3" s="1"/>
  <c r="A24" i="3"/>
  <c r="A26" i="3" s="1"/>
  <c r="A21" i="3"/>
  <c r="A22" i="3" s="1"/>
  <c r="A14" i="3"/>
  <c r="A15" i="3" s="1"/>
  <c r="A16" i="3" s="1"/>
  <c r="A17" i="3" s="1"/>
  <c r="A18" i="3" s="1"/>
  <c r="A19" i="3" s="1"/>
  <c r="A9" i="3"/>
  <c r="A3" i="3"/>
  <c r="A10" i="3" l="1"/>
  <c r="A11" i="3" s="1"/>
  <c r="A12" i="3" s="1"/>
  <c r="A4" i="3"/>
  <c r="A5" i="3" s="1"/>
  <c r="A7" i="3" s="1"/>
  <c r="A25" i="3"/>
  <c r="A90" i="3"/>
  <c r="A6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tc={F95292F9-6C10-4801-8B73-C62412A83C4F}</author>
  </authors>
  <commentList>
    <comment ref="B148" authorId="0" shapeId="0" xr:uid="{F95292F9-6C10-4801-8B73-C62412A83C4F}">
      <text>
        <t>[Threaded comment]
Your version of Excel allows you to read this threaded comment; however, any edits to it will get removed if the file is opened in a newer version of Excel. Learn more: https://go.microsoft.com/fwlink/?linkid=870924
Comment:
    Waterproofing for current under consturction projects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<sst xmlns="http://schemas.openxmlformats.org/spreadsheetml/2006/main" count="1924" uniqueCount="338">
  <si>
    <t>Projects</t>
  </si>
  <si>
    <t>Barro</t>
  </si>
  <si>
    <t>El Benito</t>
  </si>
  <si>
    <t>Farm Villa</t>
  </si>
  <si>
    <t>Kasauli Project</t>
  </si>
  <si>
    <t>La Arvisa</t>
  </si>
  <si>
    <t>La Caleta A</t>
  </si>
  <si>
    <t>La Caleta B</t>
  </si>
  <si>
    <t>La Cascada</t>
  </si>
  <si>
    <t>La Cassinella</t>
  </si>
  <si>
    <t>La Ermida</t>
  </si>
  <si>
    <t>La Esca Estate</t>
  </si>
  <si>
    <t>La Estella 2 &amp; 3</t>
  </si>
  <si>
    <t>La Estella I</t>
  </si>
  <si>
    <t>La Formosa</t>
  </si>
  <si>
    <t>La Luciana</t>
  </si>
  <si>
    <t>La Marcella</t>
  </si>
  <si>
    <t>La Massima</t>
  </si>
  <si>
    <t>La Merida</t>
  </si>
  <si>
    <t>La Mora</t>
  </si>
  <si>
    <t>La Olvera</t>
  </si>
  <si>
    <t>La Ribera</t>
  </si>
  <si>
    <t>La Soleada</t>
  </si>
  <si>
    <t>La Zacara</t>
  </si>
  <si>
    <t>Montana</t>
  </si>
  <si>
    <t>Other Current Projects</t>
  </si>
  <si>
    <t>Passaro</t>
  </si>
  <si>
    <t>Repairs of Past Projects</t>
  </si>
  <si>
    <t>Rosa</t>
  </si>
  <si>
    <t>Sea View</t>
  </si>
  <si>
    <t>Villa Da Careen</t>
  </si>
  <si>
    <t>Villa Da Seinna</t>
  </si>
  <si>
    <t>Villa Moraira</t>
  </si>
  <si>
    <t>Villa Serrada</t>
  </si>
  <si>
    <t>Villa Tathastu (Villa Clara)</t>
  </si>
  <si>
    <t>Villa Eivissa</t>
  </si>
  <si>
    <t>Total Allocation</t>
  </si>
  <si>
    <t>People</t>
  </si>
  <si>
    <t>PUJA VAIBHAV NAIK</t>
  </si>
  <si>
    <t>Yes</t>
  </si>
  <si>
    <t>VINOD V TANDEL</t>
  </si>
  <si>
    <t>ARUN PRASAD</t>
  </si>
  <si>
    <t xml:space="preserve">AKMAL KHAN  </t>
  </si>
  <si>
    <t xml:space="preserve">VISHAL TODURKAR </t>
  </si>
  <si>
    <t>ASIM MOHAMMAD YUNNUS JAMADAR</t>
  </si>
  <si>
    <t>DINESH SHARMA</t>
  </si>
  <si>
    <t>GIREEDHARE GORAIN</t>
  </si>
  <si>
    <t>SURAJ KAKASO PATIL</t>
  </si>
  <si>
    <t>R. PAPUN PRADHAN</t>
  </si>
  <si>
    <t>SACHIN S NAIK</t>
  </si>
  <si>
    <t>SUDHIR DATTARAM ASOLKAR</t>
  </si>
  <si>
    <t xml:space="preserve">CHETAN KUNDAP  </t>
  </si>
  <si>
    <t>KHOKAN J SARKAR</t>
  </si>
  <si>
    <t>R NARAYAN MURTHY</t>
  </si>
  <si>
    <t>RAHUL KUMAR VISHWAKARMA</t>
  </si>
  <si>
    <t xml:space="preserve">NEETENDAR SHARMA  </t>
  </si>
  <si>
    <t>SANO G.  VARUGHESE</t>
  </si>
  <si>
    <t>RAJ RAVINDRA GAWADE</t>
  </si>
  <si>
    <t xml:space="preserve">RAJNEESH RAMESH HINDE </t>
  </si>
  <si>
    <t>DATTARAJ ULHAS KAMBLI</t>
  </si>
  <si>
    <t>AMOL SUBODH JAMBHALE</t>
  </si>
  <si>
    <t>VINAYAK NAIK</t>
  </si>
  <si>
    <t>RAHUL MAHADEV WAGH</t>
  </si>
  <si>
    <t>MOHAMMED FAIZ JATU</t>
  </si>
  <si>
    <t>KALLAPPA DATTATRAY NARVEKAR</t>
  </si>
  <si>
    <t>KAILASH BHUPENDRA UGREJ</t>
  </si>
  <si>
    <t>NANDKUMAR PRAKASH PATIL</t>
  </si>
  <si>
    <t>SANKET SURYAKANNT GAONKAR</t>
  </si>
  <si>
    <t>MAYUR VITTHAL PARAB</t>
  </si>
  <si>
    <t>GOVIND DATTATRAY DALVI</t>
  </si>
  <si>
    <t>MOHAMMEDIRFAN PATEL</t>
  </si>
  <si>
    <t>JOTIBA MAHIPAT PATIL</t>
  </si>
  <si>
    <t>MOHAMMED SUHEL SHAIKH</t>
  </si>
  <si>
    <t xml:space="preserve">DEVALU CHAVHAN  </t>
  </si>
  <si>
    <t>DINESH RAMCHANDRA SHETYE</t>
  </si>
  <si>
    <t>NIKHIL TULSHIDAS PATKAR</t>
  </si>
  <si>
    <t xml:space="preserve">AKSHAY MANDREKAR  </t>
  </si>
  <si>
    <t>DARSH PRASAD MANDREKAR</t>
  </si>
  <si>
    <t>KUNDAN KRISHNA MAHALE</t>
  </si>
  <si>
    <t xml:space="preserve">SANJIV ANANT NAIK </t>
  </si>
  <si>
    <t>ARJUN KAMLAKAR RAWOOL</t>
  </si>
  <si>
    <t>BRYAN JOEL D’SOUZA</t>
  </si>
  <si>
    <t xml:space="preserve">MOHD KADIR  </t>
  </si>
  <si>
    <t>SAIRAJ SAVLARAM MORUDKAR</t>
  </si>
  <si>
    <t>RAMDAS MUKUND PARAB</t>
  </si>
  <si>
    <t>OMKAR RAJU MUDAGAL</t>
  </si>
  <si>
    <t>ANAND GAWADE</t>
  </si>
  <si>
    <t xml:space="preserve">SHEKHAR SHAMRAO PATIL SHAMRAO SHRRAE </t>
  </si>
  <si>
    <t>AMAR BALGONDA PATIL</t>
  </si>
  <si>
    <t>VIJAY JAMDAR</t>
  </si>
  <si>
    <t xml:space="preserve">SAHEEL MAULINGKAR   </t>
  </si>
  <si>
    <t>WINSTON FERNANDES</t>
  </si>
  <si>
    <t>POORNANAND PRABHAKAR KANKONKAR</t>
  </si>
  <si>
    <t xml:space="preserve">VIRAJ BABURAO RANE </t>
  </si>
  <si>
    <t>HUSAIN ANSARI</t>
  </si>
  <si>
    <t>MANJUNATH RUDRAPPA CHOPADE</t>
  </si>
  <si>
    <t>YUVARAJ PRAKASH PATIL</t>
  </si>
  <si>
    <t>PAVAN ASHOK JOSHI</t>
  </si>
  <si>
    <t>DEEPAK ASHOK DESSAI</t>
  </si>
  <si>
    <t>SANJAY CHAUHAN</t>
  </si>
  <si>
    <t>NAMDEV CHOPADE</t>
  </si>
  <si>
    <t>VAIBHAV BALASO PATIL</t>
  </si>
  <si>
    <t>NILKANTH LAXMAN RAWOOL</t>
  </si>
  <si>
    <t>GAURESH GANESH GAUNKAR</t>
  </si>
  <si>
    <t>NAGARAJ JAIWANT CHIPKAR</t>
  </si>
  <si>
    <t>ASHISH ANAND ARLEKAR</t>
  </si>
  <si>
    <t>MANIK CHAND DAS</t>
  </si>
  <si>
    <t>ARSHAD SHAKIL ATTAR</t>
  </si>
  <si>
    <t>SUDHEER D NAIK</t>
  </si>
  <si>
    <t>RAGHOBHA YASHWANT</t>
  </si>
  <si>
    <t>MAHADEV S NAIK</t>
  </si>
  <si>
    <t xml:space="preserve">SIDDHARTH FULAGABABU KERKAR </t>
  </si>
  <si>
    <t>VINOD ANANT DESHBHANDARI</t>
  </si>
  <si>
    <t>JEEVAN SHARMA</t>
  </si>
  <si>
    <t>AJAY THAKUR</t>
  </si>
  <si>
    <t>BHUPINDER SINGH KASHYAP</t>
  </si>
  <si>
    <t xml:space="preserve">PRATHAMESH SURESH DESAI   </t>
  </si>
  <si>
    <t xml:space="preserve">BAJRA NATH SINGH   </t>
  </si>
  <si>
    <t>PAPPU KUMAR MANDAL</t>
  </si>
  <si>
    <t xml:space="preserve">VIKKEE XALXLO  </t>
  </si>
  <si>
    <t xml:space="preserve">ROHIT RAJABHAU SARAF </t>
  </si>
  <si>
    <t xml:space="preserve">GOURESH NAIK  </t>
  </si>
  <si>
    <t>GOURISH GANPAT NAIK</t>
  </si>
  <si>
    <t>SHAILESH PRABHAKAR MADALI</t>
  </si>
  <si>
    <t xml:space="preserve">PRAKASH GANAGER  </t>
  </si>
  <si>
    <t>BHIVA LAXMAN CHAVAN</t>
  </si>
  <si>
    <t xml:space="preserve">SANKET SHYAM HADFADKAR   </t>
  </si>
  <si>
    <t>TUSHAR TULSIDAS GOVENKAR</t>
  </si>
  <si>
    <t>SHRISTY TYAGI</t>
  </si>
  <si>
    <t>KASHIMSAB NADAF</t>
  </si>
  <si>
    <t>PRASAD PANDURANG JADHAV</t>
  </si>
  <si>
    <t>Project Names</t>
  </si>
  <si>
    <t>Employee Name</t>
  </si>
  <si>
    <t>%</t>
  </si>
  <si>
    <t>VAIBHAV BAPURAO SHINDE</t>
  </si>
  <si>
    <t>AKBAR ADAM BAEKHAN</t>
  </si>
  <si>
    <t>DILEEP HONNAPPA TANDEL</t>
  </si>
  <si>
    <t>Row Labels</t>
  </si>
  <si>
    <t>Baseline Start Date</t>
  </si>
  <si>
    <t>Baseline End Date</t>
  </si>
  <si>
    <t>Actual Start Date</t>
  </si>
  <si>
    <t>Forecasted End Date</t>
  </si>
  <si>
    <t>Misc.</t>
  </si>
  <si>
    <t>Grand Total</t>
  </si>
  <si>
    <t>Employee Code</t>
  </si>
  <si>
    <t>Project Manager</t>
  </si>
  <si>
    <t>Rohit/Vijay</t>
  </si>
  <si>
    <t>FUNCTION</t>
  </si>
  <si>
    <t>Date</t>
  </si>
  <si>
    <t>OEP-1-0095</t>
  </si>
  <si>
    <t>Vishal  Todurkar</t>
  </si>
  <si>
    <t>Rohit</t>
  </si>
  <si>
    <t>OEP-1-0097</t>
  </si>
  <si>
    <t>OEP-1-0161</t>
  </si>
  <si>
    <t>RYG-1-0041</t>
  </si>
  <si>
    <t>IEP-1-0127</t>
  </si>
  <si>
    <t>IEP-1-0078</t>
  </si>
  <si>
    <t>La Caleta-B</t>
  </si>
  <si>
    <t>OEP-1-0096</t>
  </si>
  <si>
    <t>OEP-1-0129</t>
  </si>
  <si>
    <t>OEP-1-0133</t>
  </si>
  <si>
    <t>OEP-1-0160</t>
  </si>
  <si>
    <t>CHETAN KUNDAP</t>
  </si>
  <si>
    <t>VRPL-1-0052</t>
  </si>
  <si>
    <t>VRPL-1-0056</t>
  </si>
  <si>
    <t>RYG-1-0064</t>
  </si>
  <si>
    <t>VPPL-1-0020</t>
  </si>
  <si>
    <t>CONSULTANT</t>
  </si>
  <si>
    <t>OEP-1-0100</t>
  </si>
  <si>
    <t>RYG-1-0058</t>
  </si>
  <si>
    <t>IEP-1-0085</t>
  </si>
  <si>
    <t>IEP-1-0097</t>
  </si>
  <si>
    <t>RYG-1-0065</t>
  </si>
  <si>
    <t>VPPL-1-0081</t>
  </si>
  <si>
    <t>La Caleta-A</t>
  </si>
  <si>
    <t>VIL-1-0187</t>
  </si>
  <si>
    <t>VRPL-1-0054</t>
  </si>
  <si>
    <t>RRL-1-0631</t>
  </si>
  <si>
    <t>Vijay</t>
  </si>
  <si>
    <t>VRPL-1-0060</t>
  </si>
  <si>
    <t xml:space="preserve">IEP-1-0064 </t>
  </si>
  <si>
    <t>VRPL-1-0040</t>
  </si>
  <si>
    <t>VIL-1-0227</t>
  </si>
  <si>
    <t>OEP-1-0118</t>
  </si>
  <si>
    <t>IEP-1-0013</t>
  </si>
  <si>
    <t>IEP-1-0062</t>
  </si>
  <si>
    <t>OEP-1-0091</t>
  </si>
  <si>
    <t>Vacant</t>
  </si>
  <si>
    <t>RYG-1-0155</t>
  </si>
  <si>
    <t>OEP-1-0124</t>
  </si>
  <si>
    <t>OEP-1-0073</t>
  </si>
  <si>
    <t>VRPL-1-0029</t>
  </si>
  <si>
    <t>VRPL-1-0042</t>
  </si>
  <si>
    <t>RYG-1-0139</t>
  </si>
  <si>
    <t>INTERN</t>
  </si>
  <si>
    <t>Villa Queira (Villa Eivissa)</t>
  </si>
  <si>
    <t>OEP-1-0075</t>
  </si>
  <si>
    <t>OEP-1-0098</t>
  </si>
  <si>
    <t>OEP-1-0099</t>
  </si>
  <si>
    <t>RYG-1-0067</t>
  </si>
  <si>
    <t>OEP-1-0109</t>
  </si>
  <si>
    <t>VRPL-1-0078</t>
  </si>
  <si>
    <t>VRPL-1-0003</t>
  </si>
  <si>
    <t>VRPL-1-0037</t>
  </si>
  <si>
    <t>RGY-1-0149</t>
  </si>
  <si>
    <t>RYG-1-0156</t>
  </si>
  <si>
    <t>OEP-1-0108</t>
  </si>
  <si>
    <t>OEP-1-0131</t>
  </si>
  <si>
    <t>VRPL-1-0073</t>
  </si>
  <si>
    <t>RYG-1-0142</t>
  </si>
  <si>
    <t>RYG-1-0144</t>
  </si>
  <si>
    <t>VH0169</t>
  </si>
  <si>
    <t>IEP-1-0065</t>
  </si>
  <si>
    <t>IEP-1-0102</t>
  </si>
  <si>
    <t>VPPL-1-0052</t>
  </si>
  <si>
    <t>VPPL-1-0103</t>
  </si>
  <si>
    <t>VRPL-1-0069</t>
  </si>
  <si>
    <t>RYG-1-0154</t>
  </si>
  <si>
    <t>VPPL-1-0097</t>
  </si>
  <si>
    <t>VPPL-1-0101</t>
  </si>
  <si>
    <t>VRPL-1-0034</t>
  </si>
  <si>
    <t>Vishal Todurkar</t>
  </si>
  <si>
    <t>IEP-1-0032</t>
  </si>
  <si>
    <t>VRPL-1-0075</t>
  </si>
  <si>
    <t>OEP-1-0114</t>
  </si>
  <si>
    <t>OEP-1-0123</t>
  </si>
  <si>
    <t>VPPL-1-0074</t>
  </si>
  <si>
    <t>OEP-1-0074</t>
  </si>
  <si>
    <t>OEP-1-0122</t>
  </si>
  <si>
    <t>VHRL-1-0012</t>
  </si>
  <si>
    <t>VHRL-1-0013</t>
  </si>
  <si>
    <t>VHRL-1-0016</t>
  </si>
  <si>
    <t xml:space="preserve">RRL-1-0320       </t>
  </si>
  <si>
    <t>RRL-1-0430</t>
  </si>
  <si>
    <t>VRPL-1-0049</t>
  </si>
  <si>
    <t>RYG-1-0122</t>
  </si>
  <si>
    <t>OEP-1-0076</t>
  </si>
  <si>
    <t>OEP-1-0084</t>
  </si>
  <si>
    <t>Shailesh Madali</t>
  </si>
  <si>
    <t>RYG-1-0157</t>
  </si>
  <si>
    <t>VPPL-1-0069</t>
  </si>
  <si>
    <t>OEP-1-0042</t>
  </si>
  <si>
    <t>VRPL-1-0057</t>
  </si>
  <si>
    <t>OEP-1-0128</t>
  </si>
  <si>
    <t>RRL-1-0245</t>
  </si>
  <si>
    <t>Amit Sharma</t>
  </si>
  <si>
    <t>VRPL-1-0063</t>
  </si>
  <si>
    <t>Kashimsab  Nadaf</t>
  </si>
  <si>
    <t>IEP-1-0061</t>
  </si>
  <si>
    <t>IEP-1-0117</t>
  </si>
  <si>
    <t>IEP-1-0147</t>
  </si>
  <si>
    <t>Kashimsab Nadaf</t>
  </si>
  <si>
    <t>IEP-1-0115</t>
  </si>
  <si>
    <t>VRPL-1-0030</t>
  </si>
  <si>
    <t>Function</t>
  </si>
  <si>
    <t>EMP NAME</t>
  </si>
  <si>
    <t>GAJANAN  KRISHNA GAONKAR</t>
  </si>
  <si>
    <t>NAIDU KRISHNA AMBISWAMI</t>
  </si>
  <si>
    <t>RAHUL RAJANIKANT PENDURKAR</t>
  </si>
  <si>
    <t>SAMEER SHANTARAM NAIK</t>
  </si>
  <si>
    <t>VISHWANATH NAMDEV KHAPARE</t>
  </si>
  <si>
    <t>ROHIT KUMAR SHARMA</t>
  </si>
  <si>
    <t>BALVINDER SINGH</t>
  </si>
  <si>
    <t>SUDIPTA GANGULY</t>
  </si>
  <si>
    <t>AKSHIT AGGARWAL</t>
  </si>
  <si>
    <t>CEANA MARY FERNANDES</t>
  </si>
  <si>
    <t>EMP CODE</t>
  </si>
  <si>
    <t>Joining Dates</t>
  </si>
  <si>
    <t>Location Name</t>
  </si>
  <si>
    <t>DESIGNATION</t>
  </si>
  <si>
    <t>Sub - Department</t>
  </si>
  <si>
    <t>GOA OFFICE</t>
  </si>
  <si>
    <t>PROJECTS &amp; PURCHASE</t>
  </si>
  <si>
    <t>FINISHING ENGINEER</t>
  </si>
  <si>
    <t>ENGINEER</t>
  </si>
  <si>
    <t>ASSISTANT MANAGER</t>
  </si>
  <si>
    <t>SUPERVISOR</t>
  </si>
  <si>
    <t>JUNIOR ENGINEER</t>
  </si>
  <si>
    <t>MANAGER</t>
  </si>
  <si>
    <t>SENIOR ENGINEER</t>
  </si>
  <si>
    <t>SITE ENGINEER</t>
  </si>
  <si>
    <t>RCC CUM FINISHING MANAGER</t>
  </si>
  <si>
    <t>ASSISTANT VICE PRESIDENT</t>
  </si>
  <si>
    <t>DELHI OFFICE</t>
  </si>
  <si>
    <t>ASSOCIATE</t>
  </si>
  <si>
    <t>SENIOR MANAGER</t>
  </si>
  <si>
    <t>SENIOR SUPERVISOR</t>
  </si>
  <si>
    <t>SENIOR  ENGINEER</t>
  </si>
  <si>
    <t>SENIOR ASSOCIATE ENGINEER</t>
  </si>
  <si>
    <t>Kasauli</t>
  </si>
  <si>
    <t>Intern</t>
  </si>
  <si>
    <t>SITE CO-ORDINATOR</t>
  </si>
  <si>
    <t>OEP-1-0112</t>
  </si>
  <si>
    <t>Others</t>
  </si>
  <si>
    <t>Ask</t>
  </si>
  <si>
    <t>OEP-1-0110</t>
  </si>
  <si>
    <t>FINISHING MANAGER</t>
  </si>
  <si>
    <t>SENIOR SITE ENGINEER</t>
  </si>
  <si>
    <t>SITE SUPERVISOR</t>
  </si>
  <si>
    <t>FINISHING SUPERVISOR</t>
  </si>
  <si>
    <t>SITE SUPERVISOR-PROJECTS</t>
  </si>
  <si>
    <t>PROJECT MANAGER</t>
  </si>
  <si>
    <t>IEP-1-0104</t>
  </si>
  <si>
    <t>SAFETY OFFICER</t>
  </si>
  <si>
    <t>FOREMAN</t>
  </si>
  <si>
    <t>PROJECT ENGINEER</t>
  </si>
  <si>
    <t>OEP-1-0119</t>
  </si>
  <si>
    <t>ENGINEER WATERPROOFING</t>
  </si>
  <si>
    <t>JUNIOR  ENGINEER</t>
  </si>
  <si>
    <t>VPPL-1-0031</t>
  </si>
  <si>
    <t>SENIOR VICE PRESIDENT</t>
  </si>
  <si>
    <t>RCC MANAGER</t>
  </si>
  <si>
    <t>CONSTRUCTION MANAGER</t>
  </si>
  <si>
    <t>Consultant</t>
  </si>
  <si>
    <t>PRAKASH GANAGER</t>
  </si>
  <si>
    <t>VRPL-1-0055</t>
  </si>
  <si>
    <t xml:space="preserve">Yes </t>
  </si>
  <si>
    <t>BRYAN JOEL D’SOUZA (Left)</t>
  </si>
  <si>
    <t>ASIM MOHAMMAD YUNNUS JAMADAR (Left)</t>
  </si>
  <si>
    <t>ARUN PRASAD (Left)</t>
  </si>
  <si>
    <t>PAVAN ASHOK JOSHI (Left)</t>
  </si>
  <si>
    <t xml:space="preserve">Safety on all allocation </t>
  </si>
  <si>
    <t xml:space="preserve">Caserio &amp; South Goa </t>
  </si>
  <si>
    <t>ROHIT KUMAR SHARMA (All Projects)</t>
  </si>
  <si>
    <t>R NARAYAN MURTHY(Left)</t>
  </si>
  <si>
    <t>SUDIPTA GANGULY (Store)</t>
  </si>
  <si>
    <t>VIJAY JAMDAR  (Left)</t>
  </si>
  <si>
    <t>DARSH PRASAD MANDREKAR  (Intership, Now left now he is not active employee now)</t>
  </si>
  <si>
    <t>AKMAL KHAN    (Left)</t>
  </si>
  <si>
    <t>RAHUL MAHADEV WAGH (Rahul) (Left)</t>
  </si>
  <si>
    <t>Selva</t>
  </si>
  <si>
    <t>MANIK CHAND DAS (Left)</t>
  </si>
  <si>
    <t>AKSHIT AGGARWAL (Raza Haidri Team member at Delhi Office)</t>
  </si>
  <si>
    <t>KUNDAN KRISHNA MAHALE  (Intership, already left  he was not active employee )</t>
  </si>
  <si>
    <t>SAMEER SHANTARAM NAIK (Liaisoning for all upcoming sites)</t>
  </si>
  <si>
    <t>In System / Left</t>
  </si>
  <si>
    <t>Left</t>
  </si>
  <si>
    <t>In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</si>
</sst>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dd\-mm\-yy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b/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b/>
      <sz val="11"/>
      <color theme="1"/>
      <name val="Calibri"/>
      <family val="2"/>
    </font>
    <font>
      <b/>
      <sz val="11"/>
      <color theme="0"/>
      <name val="Calibri"/>
      <family val="2"/>
    </font>
    <font>
      <sz val="11"/>
      <color rgb="FF000000"/>
      <name val="Calibri"/>
      <family val="2"/>
      <charset val="1"/>
    </font>
    <font>
      <sz val="11"/>
      <color rgb="FFFF0000"/>
      <name val="Calibri"/>
      <family val="2"/>
    </font>
    <font>
      <sz val="8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2060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theme="4" tint="-0.249977111117893"/>
      </top>
      <bottom/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42">
    <xf numFmtId="0" fontId="0" fillId="0" borderId="0" xfId="0"/>
    <xf numFmtId="0" fontId="4" fillId="0" borderId="2" xfId="0" applyFont="1" applyBorder="1" applyAlignment="1">
      <alignment horizontal="center" wrapText="1"/>
    </xf>
    <xf numFmtId="9" fontId="4" fillId="0" borderId="2" xfId="1" applyFont="1" applyBorder="1" applyAlignment="1">
      <alignment horizontal="center" wrapText="1"/>
    </xf>
    <xf numFmtId="0" fontId="2" fillId="0" borderId="0" xfId="0" applyFont="1"/>
    <xf numFmtId="0" fontId="5" fillId="0" borderId="0" xfId="0" applyFont="1" applyAlignment="1">
      <alignment readingOrder="1"/>
    </xf>
    <xf numFmtId="9" fontId="2" fillId="0" borderId="0" xfId="1" applyFont="1" applyBorder="1"/>
    <xf numFmtId="0" fontId="8" fillId="2" borderId="3" xfId="0" applyFont="1" applyFill="1" applyBorder="1" applyAlignment="1">
      <alignment readingOrder="1"/>
    </xf>
    <xf numFmtId="0" fontId="5" fillId="0" borderId="1" xfId="0" applyFont="1" applyBorder="1"/>
    <xf numFmtId="0" fontId="0" fillId="0" borderId="1" xfId="0" applyBorder="1"/>
    <xf numFmtId="0" fontId="7" fillId="0" borderId="0" xfId="0" applyFont="1"/>
    <xf numFmtId="0" fontId="5" fillId="0" borderId="0" xfId="0" applyFont="1"/>
    <xf numFmtId="0" fontId="6" fillId="0" borderId="0" xfId="0" applyFont="1" applyAlignment="1">
      <alignment readingOrder="1"/>
    </xf>
    <xf numFmtId="0" fontId="10" fillId="4" borderId="4" xfId="0" applyFont="1" applyFill="1" applyBorder="1"/>
    <xf numFmtId="0" fontId="9" fillId="0" borderId="0" xfId="0" applyFont="1"/>
    <xf numFmtId="165" fontId="0" fillId="0" borderId="0" xfId="0" applyNumberFormat="1" applyAlignment="1">
      <alignment vertical="top"/>
    </xf>
    <xf numFmtId="0" fontId="1" fillId="0" borderId="1" xfId="0" applyFont="1" applyBorder="1"/>
    <xf numFmtId="0" fontId="1" fillId="0" borderId="0" xfId="0" applyFont="1"/>
    <xf numFmtId="0" fontId="11" fillId="0" borderId="0" xfId="0" applyFont="1"/>
    <xf numFmtId="9" fontId="1" fillId="0" borderId="0" xfId="1" applyFont="1" applyBorder="1"/>
    <xf numFmtId="0" fontId="1" fillId="0" borderId="0" xfId="0" applyFont="1" applyAlignment="1">
      <alignment horizontal="left"/>
    </xf>
    <xf numFmtId="0" fontId="6" fillId="0" borderId="0" xfId="0" applyFont="1" applyAlignment="1">
      <alignment wrapText="1"/>
    </xf>
    <xf numFmtId="0" fontId="5" fillId="0" borderId="1" xfId="0" applyFont="1" applyBorder="1" applyAlignment="1">
      <alignment readingOrder="1"/>
    </xf>
    <xf numFmtId="14" fontId="5" fillId="0" borderId="1" xfId="0" applyNumberFormat="1" applyFont="1" applyBorder="1" applyAlignment="1">
      <alignment readingOrder="1"/>
    </xf>
    <xf numFmtId="0" fontId="6" fillId="0" borderId="1" xfId="0" applyFont="1" applyBorder="1" applyAlignment="1">
      <alignment readingOrder="1"/>
    </xf>
    <xf numFmtId="0" fontId="6" fillId="0" borderId="1" xfId="0" applyFont="1" applyBorder="1" applyAlignment="1">
      <alignment wrapText="1"/>
    </xf>
    <xf numFmtId="14" fontId="1" fillId="0" borderId="0" xfId="0" applyNumberFormat="1" applyFont="1"/>
    <xf numFmtId="0" fontId="7" fillId="3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0" fillId="7" borderId="0" xfId="0" applyFill="1"/>
    <xf numFmtId="0" fontId="1" fillId="8" borderId="0" xfId="0" applyFont="1" applyFill="1" applyAlignment="1">
      <alignment horizontal="center" vertical="center"/>
    </xf>
    <xf numFmtId="0" fontId="12" fillId="0" borderId="0" xfId="0" applyFont="1" applyAlignment="1">
      <alignment readingOrder="1"/>
    </xf>
    <xf numFmtId="0" fontId="5" fillId="3" borderId="0" xfId="0" applyFont="1" applyFill="1" applyAlignment="1">
      <alignment readingOrder="1"/>
    </xf>
    <xf numFmtId="0" fontId="1" fillId="0" borderId="0" xfId="0" applyFont="1" applyAlignment="1">
      <alignment horizontal="center" vertical="center"/>
    </xf>
    <xf numFmtId="0" fontId="5" fillId="9" borderId="1" xfId="0" applyFont="1" applyFill="1" applyBorder="1" applyAlignment="1">
      <alignment readingOrder="1"/>
    </xf>
    <xf numFmtId="0" fontId="5" fillId="10" borderId="1" xfId="0" applyFont="1" applyFill="1" applyBorder="1" applyAlignment="1">
      <alignment readingOrder="1"/>
    </xf>
    <xf numFmtId="0" fontId="6" fillId="10" borderId="1" xfId="0" applyFont="1" applyFill="1" applyBorder="1" applyAlignment="1">
      <alignment wrapText="1"/>
    </xf>
    <xf numFmtId="0" fontId="1" fillId="9" borderId="1" xfId="0" applyFont="1" applyFill="1" applyBorder="1" applyAlignment="1">
      <alignment readingOrder="1"/>
    </xf>
    <xf numFmtId="0" fontId="1" fillId="0" borderId="0" xfId="0" pivotButton="1" applyFont="1"/>
    <xf numFmtId="0" fontId="1" fillId="5" borderId="0" xfId="0" applyFont="1" applyFill="1" applyAlignment="1">
      <alignment horizontal="left"/>
    </xf>
    <xf numFmtId="0" fontId="8" fillId="2" borderId="1" xfId="0" applyFont="1" applyFill="1" applyBorder="1" applyAlignment="1">
      <alignment horizontal="center" vertical="center" readingOrder="1"/>
    </xf>
    <xf numFmtId="0" fontId="9" fillId="3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</cellXfs>
  <cellStyles count="3">
    <cellStyle name="Comma 2" xfId="2" xr:uid="{8FD12DBF-2BEC-4BD7-A3E1-E7EF68976180}"/>
    <cellStyle name="Normal" xfId="0" builtinId="0"/>
    <cellStyle name="Percent" xfId="1" builtinId="5"/>
  </cellStyles>
  <dxfs count="12"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Foram Maru" id="{F1473C10-8948-4C04-8A98-2D1DE9CC83A2}" userId="S::foram.maru@roibypractus.com::978a34e4-c16c-473a-94b5-4e9ba0df8d6e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oram" refreshedDate="45923.485319675929" createdVersion="8" refreshedVersion="8" minRefreshableVersion="3" recordCount="153" xr:uid="{14CD5EC1-71F4-4AE3-ADB6-E228FD1D1084}">
  <cacheSource type="worksheet">
    <worksheetSource ref="A1:D154" sheet="Team per Project"/>
  </cacheSource>
  <cacheFields count="5">
    <cacheField name="Project Names" numFmtId="0">
      <sharedItems count="37">
        <s v="La Estella I"/>
        <s v="La Caleta B"/>
        <s v="La Cascada"/>
        <s v="La Cassinella"/>
        <s v="La Merida"/>
        <s v="La Caleta A"/>
        <s v="La Formosa"/>
        <s v="La Massima"/>
        <s v="La Mora"/>
        <s v="El Benito"/>
        <s v="La Luciana"/>
        <s v="Villa Eivissa"/>
        <s v="Villa Moraira"/>
        <s v="Villa Serrada"/>
        <s v="La Olvera"/>
        <s v="Villa Da Seinna"/>
        <s v="Villa Tathastu (Villa Clara)"/>
        <s v="La Esca Estate"/>
        <s v="La Soleada"/>
        <s v="La Estella 2 &amp; 3"/>
        <s v="Farm Villa"/>
        <s v="La Ermida"/>
        <s v="La Ribera"/>
        <s v="Villa Da Careen"/>
        <s v="La Arvisa"/>
        <s v="La Marcella"/>
        <s v="Barro"/>
        <s v="Kasauli Project"/>
        <s v="La Zacara"/>
        <s v="Montana"/>
        <s v="Rosa"/>
        <s v="Passaro"/>
        <s v="Sea View"/>
        <s v="Other Current Projects"/>
        <s v="Misc."/>
        <s v="Repairs of Past Projects"/>
        <s v="Villa Ervisia" u="1"/>
      </sharedItems>
    </cacheField>
    <cacheField name="Employee Name" numFmtId="0">
      <sharedItems/>
    </cacheField>
    <cacheField name="Employee Code" numFmtId="0">
      <sharedItems/>
    </cacheField>
    <cacheField name="%" numFmtId="9">
      <sharedItems containsSemiMixedTypes="0" containsString="0" containsNumber="1" minValue="0.25" maxValue="1"/>
    </cacheField>
    <cacheField name="Cost" numFmtId="164">
      <sharedItems containsSemiMixedTypes="0" containsString="0" containsNumber="1" minValue="8519.5" maxValue="10833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3">
  <r>
    <x v="0"/>
    <s v="PUJA VAIBHAV NAIK"/>
    <s v="OEP-1-0095"/>
    <n v="0.25"/>
    <n v="12600"/>
  </r>
  <r>
    <x v="0"/>
    <s v="VINOD V TANDEL"/>
    <s v="OEP-1-0097"/>
    <n v="0.25"/>
    <n v="18600"/>
  </r>
  <r>
    <x v="0"/>
    <s v="ARUN PRASAD"/>
    <s v="OEP-1-0161"/>
    <n v="1"/>
    <n v="56781"/>
  </r>
  <r>
    <x v="0"/>
    <s v="AKMAL KHAN  "/>
    <s v="RYG-1-0041"/>
    <n v="0.5"/>
    <n v="8519.5"/>
  </r>
  <r>
    <x v="0"/>
    <s v="VISHAL TODURKAR "/>
    <s v="IEP-1-0127"/>
    <n v="0.25"/>
    <n v="70669"/>
  </r>
  <r>
    <x v="0"/>
    <s v="ASIM MOHAMMAD YUNNUS JAMADAR"/>
    <s v="IEP-1-0078"/>
    <n v="1"/>
    <n v="60000"/>
  </r>
  <r>
    <x v="1"/>
    <s v="PUJA VAIBHAV NAIK"/>
    <s v="OEP-1-0095"/>
    <n v="0.25"/>
    <n v="12600"/>
  </r>
  <r>
    <x v="1"/>
    <s v="DINESH SHARMA"/>
    <s v="OEP-1-0096"/>
    <n v="1"/>
    <n v="69750"/>
  </r>
  <r>
    <x v="1"/>
    <s v="VINOD V TANDEL"/>
    <s v="OEP-1-0097"/>
    <n v="0.25"/>
    <n v="18600"/>
  </r>
  <r>
    <x v="1"/>
    <s v="GIREEDHARE GORAIN"/>
    <s v="OEP-1-0129"/>
    <n v="1"/>
    <n v="73064"/>
  </r>
  <r>
    <x v="1"/>
    <s v="VISHAL TODURKAR "/>
    <s v="IEP-1-0127"/>
    <n v="0.25"/>
    <n v="70669"/>
  </r>
  <r>
    <x v="2"/>
    <s v="SURAJ KAKASO PATIL"/>
    <s v="OEP-1-0133"/>
    <n v="1"/>
    <n v="56670"/>
  </r>
  <r>
    <x v="2"/>
    <s v="R. PAPUN PRADHAN"/>
    <s v="OEP-1-0160"/>
    <n v="1"/>
    <n v="49042"/>
  </r>
  <r>
    <x v="2"/>
    <s v="SACHIN S NAIK"/>
    <s v="VRPL-1-0052"/>
    <n v="1"/>
    <n v="78016"/>
  </r>
  <r>
    <x v="2"/>
    <s v="SUDHIR DATTARAM ASOLKAR"/>
    <s v="VRPL-1-0056"/>
    <n v="1"/>
    <n v="68410"/>
  </r>
  <r>
    <x v="2"/>
    <s v="CHETAN KUNDAP  "/>
    <s v="RYG-1-0064"/>
    <n v="0.25"/>
    <n v="43925"/>
  </r>
  <r>
    <x v="2"/>
    <s v="KHOKAN J SARKAR"/>
    <s v="VPPL-1-0020"/>
    <n v="1"/>
    <n v="49500"/>
  </r>
  <r>
    <x v="2"/>
    <s v="R NARAYAN MURTHY"/>
    <s v="CONSULTANT"/>
    <n v="1"/>
    <n v="51114"/>
  </r>
  <r>
    <x v="3"/>
    <s v="RAHUL KUMAR VISHWAKARMA"/>
    <s v="OEP-1-0100"/>
    <n v="1"/>
    <n v="50400"/>
  </r>
  <r>
    <x v="3"/>
    <s v="NEETENDAR SHARMA  "/>
    <s v="RYG-1-0058"/>
    <n v="1"/>
    <n v="77430"/>
  </r>
  <r>
    <x v="3"/>
    <s v="CHETAN KUNDAP  "/>
    <s v="RYG-1-0064"/>
    <n v="0.25"/>
    <n v="43925"/>
  </r>
  <r>
    <x v="4"/>
    <s v="SANO G.  VARUGHESE"/>
    <s v="IEP-1-0085"/>
    <n v="1"/>
    <n v="48063"/>
  </r>
  <r>
    <x v="4"/>
    <s v="RAJ RAVINDRA GAWADE"/>
    <s v="IEP-1-0097"/>
    <n v="1"/>
    <n v="50000"/>
  </r>
  <r>
    <x v="4"/>
    <s v="RAJNEESH RAMESH HINDE "/>
    <s v="RYG-1-0065"/>
    <n v="0.5"/>
    <n v="86252.5"/>
  </r>
  <r>
    <x v="4"/>
    <s v="DATTARAJ ULHAS KAMBLI"/>
    <s v="VPPL-1-0081"/>
    <n v="1"/>
    <n v="49127"/>
  </r>
  <r>
    <x v="5"/>
    <s v="AMOL SUBODH JAMBHALE"/>
    <s v="VIL-1-0187"/>
    <n v="1"/>
    <n v="63250"/>
  </r>
  <r>
    <x v="5"/>
    <s v="PUJA VAIBHAV NAIK"/>
    <s v="OEP-1-0095"/>
    <n v="0.25"/>
    <n v="12600"/>
  </r>
  <r>
    <x v="5"/>
    <s v="VINOD V TANDEL"/>
    <s v="OEP-1-0097"/>
    <n v="0.25"/>
    <n v="18600"/>
  </r>
  <r>
    <x v="5"/>
    <s v="VINAYAK NAIK"/>
    <s v="VRPL-1-0054"/>
    <n v="1"/>
    <n v="60093"/>
  </r>
  <r>
    <x v="5"/>
    <s v="VISHAL TODURKAR "/>
    <s v="IEP-1-0127"/>
    <n v="0.25"/>
    <n v="70669"/>
  </r>
  <r>
    <x v="6"/>
    <s v="RAHUL MAHADEV WAGH"/>
    <s v="RRL-1-0631"/>
    <n v="1"/>
    <n v="46076"/>
  </r>
  <r>
    <x v="6"/>
    <s v="MOHAMMED FAIZ JATU"/>
    <s v="VRPL-1-0060"/>
    <n v="1"/>
    <n v="57260"/>
  </r>
  <r>
    <x v="6"/>
    <s v="KALLAPPA DATTATRAY NARVEKAR"/>
    <s v="IEP-1-0064 "/>
    <n v="1"/>
    <n v="73500"/>
  </r>
  <r>
    <x v="6"/>
    <s v="KAILASH BHUPENDRA UGREJ"/>
    <s v="VRPL-1-0040"/>
    <n v="0.5"/>
    <n v="75142.5"/>
  </r>
  <r>
    <x v="7"/>
    <s v="NANDKUMAR PRAKASH PATIL"/>
    <s v="VIL-1-0227"/>
    <n v="1"/>
    <n v="55890"/>
  </r>
  <r>
    <x v="7"/>
    <s v="SANKET SURYAKANNT GAONKAR"/>
    <s v="OEP-1-0118"/>
    <n v="1"/>
    <n v="37700"/>
  </r>
  <r>
    <x v="7"/>
    <s v="RAJNEESH RAMESH HINDE "/>
    <s v="RYG-1-0065"/>
    <n v="0.5"/>
    <n v="86252.5"/>
  </r>
  <r>
    <x v="7"/>
    <s v="MAYUR VITTHAL PARAB"/>
    <s v="IEP-1-0013"/>
    <n v="1"/>
    <n v="46000"/>
  </r>
  <r>
    <x v="7"/>
    <s v="GOVIND DATTATRAY DALVI"/>
    <s v="IEP-1-0062"/>
    <n v="1"/>
    <n v="87532"/>
  </r>
  <r>
    <x v="8"/>
    <s v="MOHAMMEDIRFAN PATEL"/>
    <s v="OEP-1-0091"/>
    <n v="1"/>
    <n v="73920"/>
  </r>
  <r>
    <x v="8"/>
    <s v="JOTIBA MAHIPAT PATIL"/>
    <s v="RYG-1-0155"/>
    <n v="1"/>
    <n v="72500"/>
  </r>
  <r>
    <x v="9"/>
    <s v="MOHAMMED SUHEL SHAIKH"/>
    <s v="OEP-1-0124"/>
    <n v="1"/>
    <n v="67982"/>
  </r>
  <r>
    <x v="9"/>
    <s v="CHETAN KUNDAP  "/>
    <s v="RYG-1-0064"/>
    <n v="0.25"/>
    <n v="43925"/>
  </r>
  <r>
    <x v="10"/>
    <s v="DEVALU CHAVHAN  "/>
    <s v="OEP-1-0073"/>
    <n v="1"/>
    <n v="83333"/>
  </r>
  <r>
    <x v="10"/>
    <s v="DINESH RAMCHANDRA SHETYE"/>
    <s v="VRPL-1-0029"/>
    <n v="0.25"/>
    <n v="43798.5"/>
  </r>
  <r>
    <x v="10"/>
    <s v="NIKHIL TULSHIDAS PATKAR"/>
    <s v="VRPL-1-0042"/>
    <n v="1"/>
    <n v="95760"/>
  </r>
  <r>
    <x v="10"/>
    <s v="AKSHAY MANDREKAR  "/>
    <s v="RYG-1-0139"/>
    <n v="1"/>
    <n v="52865"/>
  </r>
  <r>
    <x v="10"/>
    <s v="DARSH PRASAD MANDREKAR"/>
    <s v="INTERN"/>
    <n v="1"/>
    <n v="10000"/>
  </r>
  <r>
    <x v="10"/>
    <s v="KUNDAN KRISHNA MAHALE"/>
    <s v="INTERN"/>
    <n v="1"/>
    <n v="10000"/>
  </r>
  <r>
    <x v="11"/>
    <s v="SANJIV ANANT NAIK "/>
    <s v="OEP-1-0075"/>
    <n v="0.33200000000000002"/>
    <n v="17894.468000000001"/>
  </r>
  <r>
    <x v="11"/>
    <s v="ARJUN KAMLAKAR RAWOOL"/>
    <s v="OEP-1-0098"/>
    <n v="0.33200000000000002"/>
    <n v="16732.8"/>
  </r>
  <r>
    <x v="11"/>
    <s v="BRYAN JOEL D’SOUZA"/>
    <s v="OEP-1-0099"/>
    <n v="0.33200000000000002"/>
    <n v="25006.240000000002"/>
  </r>
  <r>
    <x v="11"/>
    <s v="MOHD KADIR  "/>
    <s v="RYG-1-0067"/>
    <n v="0.33200000000000002"/>
    <n v="26758.204000000002"/>
  </r>
  <r>
    <x v="12"/>
    <s v="SANJIV ANANT NAIK "/>
    <s v="OEP-1-0075"/>
    <n v="0.33200000000000002"/>
    <n v="17894.468000000001"/>
  </r>
  <r>
    <x v="12"/>
    <s v="ARJUN KAMLAKAR RAWOOL"/>
    <s v="OEP-1-0098"/>
    <n v="0.33200000000000002"/>
    <n v="16732.8"/>
  </r>
  <r>
    <x v="12"/>
    <s v="BRYAN JOEL D’SOUZA"/>
    <s v="OEP-1-0099"/>
    <n v="0.33200000000000002"/>
    <n v="25006.240000000002"/>
  </r>
  <r>
    <x v="12"/>
    <s v="MOHD KADIR  "/>
    <s v="RYG-1-0067"/>
    <n v="0.33200000000000002"/>
    <n v="26758.204000000002"/>
  </r>
  <r>
    <x v="13"/>
    <s v="SANJIV ANANT NAIK "/>
    <s v="OEP-1-0075"/>
    <n v="0.33200000000000002"/>
    <n v="17894.468000000001"/>
  </r>
  <r>
    <x v="13"/>
    <s v="ARJUN KAMLAKAR RAWOOL"/>
    <s v="OEP-1-0098"/>
    <n v="0.33200000000000002"/>
    <n v="16732.8"/>
  </r>
  <r>
    <x v="13"/>
    <s v="BRYAN JOEL D’SOUZA"/>
    <s v="OEP-1-0099"/>
    <n v="0.33200000000000002"/>
    <n v="25006.240000000002"/>
  </r>
  <r>
    <x v="13"/>
    <s v="MOHD KADIR  "/>
    <s v="RYG-1-0067"/>
    <n v="0.33200000000000002"/>
    <n v="26758.204000000002"/>
  </r>
  <r>
    <x v="14"/>
    <s v="SAIRAJ SAVLARAM MORUDKAR"/>
    <s v="OEP-1-0109"/>
    <n v="1"/>
    <n v="54433"/>
  </r>
  <r>
    <x v="14"/>
    <s v="RAMDAS MUKUND PARAB"/>
    <s v="VRPL-1-0078"/>
    <n v="1"/>
    <n v="40000"/>
  </r>
  <r>
    <x v="15"/>
    <s v="OMKAR RAJU MUDAGAL"/>
    <s v="VRPL-1-0003"/>
    <n v="0.25"/>
    <n v="9625"/>
  </r>
  <r>
    <x v="15"/>
    <s v="ANAND GAWADE"/>
    <s v="VRPL-1-0037"/>
    <n v="0.25"/>
    <n v="13577.25"/>
  </r>
  <r>
    <x v="15"/>
    <s v="SHEKHAR SHAMRAO PATIL SHAMRAO SHRRAE "/>
    <s v="RGY-1-0149"/>
    <n v="0.25"/>
    <n v="16387.5"/>
  </r>
  <r>
    <x v="15"/>
    <s v="AMAR BALGONDA PATIL"/>
    <s v="RYG-1-0156"/>
    <n v="0.25"/>
    <n v="54166.75"/>
  </r>
  <r>
    <x v="15"/>
    <s v="VIJAY JAMDAR"/>
    <s v="CONSULTANT"/>
    <n v="0.25"/>
    <n v="75000"/>
  </r>
  <r>
    <x v="16"/>
    <s v="SAHEEL MAULINGKAR   "/>
    <s v="OEP-1-0108"/>
    <n v="1"/>
    <n v="50140"/>
  </r>
  <r>
    <x v="16"/>
    <s v="WINSTON FERNANDES"/>
    <s v="OEP-1-0131"/>
    <n v="1"/>
    <n v="64342"/>
  </r>
  <r>
    <x v="16"/>
    <s v="DINESH RAMCHANDRA SHETYE"/>
    <s v="VRPL-1-0029"/>
    <n v="0.25"/>
    <n v="43798.5"/>
  </r>
  <r>
    <x v="17"/>
    <s v="POORNANAND PRABHAKAR KANKONKAR"/>
    <s v="VRPL-1-0073"/>
    <n v="0.5"/>
    <n v="27208.5"/>
  </r>
  <r>
    <x v="17"/>
    <s v="VIRAJ BABURAO RANE "/>
    <s v="RYG-1-0142"/>
    <n v="1"/>
    <n v="76339"/>
  </r>
  <r>
    <x v="17"/>
    <s v="HUSAIN ANSARI"/>
    <s v="RYG-1-0144"/>
    <n v="0.5"/>
    <n v="23100"/>
  </r>
  <r>
    <x v="17"/>
    <s v="MANJUNATH RUDRAPPA CHOPADE"/>
    <s v="VH0169"/>
    <n v="1"/>
    <n v="36853"/>
  </r>
  <r>
    <x v="17"/>
    <s v="YUVARAJ PRAKASH PATIL"/>
    <s v="IEP-1-0065"/>
    <n v="0.33200000000000002"/>
    <n v="9495.2000000000007"/>
  </r>
  <r>
    <x v="17"/>
    <s v="PAVAN ASHOK JOSHI"/>
    <s v="IEP-1-0102"/>
    <n v="0.33200000000000002"/>
    <n v="60868.216"/>
  </r>
  <r>
    <x v="17"/>
    <s v="DEEPAK ASHOK DESSAI"/>
    <s v="VPPL-1-0052"/>
    <n v="0.33200000000000002"/>
    <n v="40586.336000000003"/>
  </r>
  <r>
    <x v="17"/>
    <s v="SANJAY CHAUHAN"/>
    <s v="VPPL-1-0103"/>
    <n v="0.5"/>
    <n v="21990"/>
  </r>
  <r>
    <x v="18"/>
    <s v="NAMDEV CHOPADE"/>
    <s v="VRPL-1-0069"/>
    <n v="1"/>
    <n v="75000"/>
  </r>
  <r>
    <x v="18"/>
    <s v="CHETAN KUNDAP  "/>
    <s v="RYG-1-0064"/>
    <n v="0.25"/>
    <n v="43925"/>
  </r>
  <r>
    <x v="18"/>
    <s v="VAIBHAV BALASO PATIL"/>
    <s v="RYG-1-0154"/>
    <n v="1"/>
    <n v="50700"/>
  </r>
  <r>
    <x v="18"/>
    <s v="NILKANTH LAXMAN RAWOOL"/>
    <s v="VPPL-1-0097"/>
    <n v="1"/>
    <n v="75000"/>
  </r>
  <r>
    <x v="18"/>
    <s v="GAURESH GANESH GAUNKAR"/>
    <s v="VPPL-1-0101"/>
    <n v="1"/>
    <n v="108333"/>
  </r>
  <r>
    <x v="19"/>
    <s v="PUJA VAIBHAV NAIK"/>
    <s v="OEP-1-0095"/>
    <n v="0.25"/>
    <n v="12600"/>
  </r>
  <r>
    <x v="19"/>
    <s v="VINOD V TANDEL"/>
    <s v="OEP-1-0097"/>
    <n v="0.25"/>
    <n v="18600"/>
  </r>
  <r>
    <x v="19"/>
    <s v="NAGARAJ JAIWANT CHIPKAR"/>
    <s v="VRPL-1-0034"/>
    <n v="1"/>
    <n v="58121"/>
  </r>
  <r>
    <x v="19"/>
    <s v="AKMAL KHAN  "/>
    <s v="RYG-1-0041"/>
    <n v="0.5"/>
    <n v="8519.5"/>
  </r>
  <r>
    <x v="19"/>
    <s v="VISHAL TODURKAR "/>
    <s v="IEP-1-0127"/>
    <n v="0.25"/>
    <n v="70669"/>
  </r>
  <r>
    <x v="19"/>
    <s v="ASHISH ANAND ARLEKAR"/>
    <s v="IEP-1-0032"/>
    <n v="1"/>
    <n v="56000"/>
  </r>
  <r>
    <x v="20"/>
    <s v="POORNANAND PRABHAKAR KANKONKAR"/>
    <s v="VRPL-1-0073"/>
    <n v="0.5"/>
    <n v="27208.5"/>
  </r>
  <r>
    <x v="20"/>
    <s v="HUSAIN ANSARI"/>
    <s v="RYG-1-0144"/>
    <n v="0.5"/>
    <n v="23100"/>
  </r>
  <r>
    <x v="20"/>
    <s v="YUVARAJ PRAKASH PATIL"/>
    <s v="IEP-1-0065"/>
    <n v="0.33200000000000002"/>
    <n v="9495.2000000000007"/>
  </r>
  <r>
    <x v="20"/>
    <s v="PAVAN ASHOK JOSHI"/>
    <s v="IEP-1-0102"/>
    <n v="0.33200000000000002"/>
    <n v="60868.216"/>
  </r>
  <r>
    <x v="20"/>
    <s v="DEEPAK ASHOK DESSAI"/>
    <s v="VPPL-1-0052"/>
    <n v="0.33200000000000002"/>
    <n v="40586.336000000003"/>
  </r>
  <r>
    <x v="20"/>
    <s v="SANJAY CHAUHAN"/>
    <s v="VPPL-1-0103"/>
    <n v="0.5"/>
    <n v="21990"/>
  </r>
  <r>
    <x v="21"/>
    <s v="OMKAR RAJU MUDAGAL"/>
    <s v="VRPL-1-0003"/>
    <n v="0.25"/>
    <n v="9625"/>
  </r>
  <r>
    <x v="21"/>
    <s v="ANAND GAWADE"/>
    <s v="VRPL-1-0037"/>
    <n v="0.25"/>
    <n v="13577.25"/>
  </r>
  <r>
    <x v="21"/>
    <s v="SHEKHAR SHAMRAO PATIL SHAMRAO SHRRAE "/>
    <s v="RGY-1-0149"/>
    <n v="0.25"/>
    <n v="16387.5"/>
  </r>
  <r>
    <x v="21"/>
    <s v="AMAR BALGONDA PATIL"/>
    <s v="RYG-1-0156"/>
    <n v="0.25"/>
    <n v="54166.75"/>
  </r>
  <r>
    <x v="21"/>
    <s v="VIJAY JAMDAR"/>
    <s v="CONSULTANT"/>
    <n v="0.25"/>
    <n v="75000"/>
  </r>
  <r>
    <x v="22"/>
    <s v="OMKAR RAJU MUDAGAL"/>
    <s v="VRPL-1-0003"/>
    <n v="0.25"/>
    <n v="9625"/>
  </r>
  <r>
    <x v="22"/>
    <s v="ANAND GAWADE"/>
    <s v="VRPL-1-0037"/>
    <n v="0.25"/>
    <n v="13577.25"/>
  </r>
  <r>
    <x v="22"/>
    <s v="SHEKHAR SHAMRAO PATIL SHAMRAO SHRRAE "/>
    <s v="RGY-1-0149"/>
    <n v="0.25"/>
    <n v="16387.5"/>
  </r>
  <r>
    <x v="22"/>
    <s v="AMAR BALGONDA PATIL"/>
    <s v="RYG-1-0156"/>
    <n v="0.25"/>
    <n v="54166.75"/>
  </r>
  <r>
    <x v="22"/>
    <s v="VIJAY JAMDAR"/>
    <s v="CONSULTANT"/>
    <n v="0.25"/>
    <n v="75000"/>
  </r>
  <r>
    <x v="22"/>
    <s v="MANIK CHAND DAS"/>
    <s v="VRPL-1-0075"/>
    <n v="1"/>
    <n v="68000"/>
  </r>
  <r>
    <x v="23"/>
    <s v="OMKAR RAJU MUDAGAL"/>
    <s v="VRPL-1-0003"/>
    <n v="0.25"/>
    <n v="9625"/>
  </r>
  <r>
    <x v="23"/>
    <s v="ANAND GAWADE"/>
    <s v="VRPL-1-0037"/>
    <n v="0.25"/>
    <n v="13577.25"/>
  </r>
  <r>
    <x v="23"/>
    <s v="SHEKHAR SHAMRAO PATIL SHAMRAO SHRRAE "/>
    <s v="RGY-1-0149"/>
    <n v="0.25"/>
    <n v="16387.5"/>
  </r>
  <r>
    <x v="23"/>
    <s v="AMAR BALGONDA PATIL"/>
    <s v="RYG-1-0156"/>
    <n v="0.25"/>
    <n v="54166.75"/>
  </r>
  <r>
    <x v="23"/>
    <s v="VIJAY JAMDAR"/>
    <s v="CONSULTANT"/>
    <n v="0.25"/>
    <n v="75000"/>
  </r>
  <r>
    <x v="24"/>
    <s v="ARSHAD SHAKIL ATTAR"/>
    <s v="OEP-1-0114"/>
    <n v="1"/>
    <n v="59580"/>
  </r>
  <r>
    <x v="24"/>
    <s v="SUDHEER D NAIK"/>
    <s v="OEP-1-0123"/>
    <n v="1"/>
    <n v="71508"/>
  </r>
  <r>
    <x v="24"/>
    <s v="DINESH RAMCHANDRA SHETYE"/>
    <s v="VRPL-1-0029"/>
    <n v="0.25"/>
    <n v="43798.5"/>
  </r>
  <r>
    <x v="24"/>
    <s v="RAGHOBHA YASHWANT"/>
    <s v="CONSULTANT"/>
    <n v="1"/>
    <n v="44349"/>
  </r>
  <r>
    <x v="25"/>
    <s v="YUVARAJ PRAKASH PATIL"/>
    <s v="IEP-1-0065"/>
    <n v="0.33200000000000002"/>
    <n v="9495.2000000000007"/>
  </r>
  <r>
    <x v="25"/>
    <s v="PAVAN ASHOK JOSHI"/>
    <s v="IEP-1-0102"/>
    <n v="0.33200000000000002"/>
    <n v="60868.216"/>
  </r>
  <r>
    <x v="25"/>
    <s v="DEEPAK ASHOK DESSAI"/>
    <s v="VPPL-1-0052"/>
    <n v="0.33200000000000002"/>
    <n v="40586.336000000003"/>
  </r>
  <r>
    <x v="25"/>
    <s v="MAHADEV S NAIK"/>
    <s v="VPPL-1-0074"/>
    <n v="1"/>
    <n v="72351"/>
  </r>
  <r>
    <x v="26"/>
    <s v="SIDDHARTH FULAGABABU KERKAR "/>
    <s v="OEP-1-0074"/>
    <n v="1"/>
    <n v="50118"/>
  </r>
  <r>
    <x v="26"/>
    <s v="VINOD ANANT DESHBHANDARI"/>
    <s v="OEP-1-0122"/>
    <n v="1"/>
    <n v="69810"/>
  </r>
  <r>
    <x v="26"/>
    <s v="DINESH RAMCHANDRA SHETYE"/>
    <s v="VRPL-1-0029"/>
    <n v="0.25"/>
    <n v="43798.5"/>
  </r>
  <r>
    <x v="27"/>
    <s v="JEEVAN SHARMA"/>
    <s v="VHRL-1-0012"/>
    <n v="1"/>
    <n v="99000"/>
  </r>
  <r>
    <x v="27"/>
    <s v="AJAY THAKUR"/>
    <s v="VHRL-1-0013"/>
    <n v="1"/>
    <n v="40000"/>
  </r>
  <r>
    <x v="27"/>
    <s v="BHUPINDER SINGH KASHYAP"/>
    <s v="VHRL-1-0016"/>
    <n v="1"/>
    <n v="24000"/>
  </r>
  <r>
    <x v="28"/>
    <s v="PRATHAMESH SURESH DESAI   "/>
    <s v="RRL-1-0320       "/>
    <n v="1"/>
    <n v="54524"/>
  </r>
  <r>
    <x v="28"/>
    <s v="BAJRA NATH SINGH   "/>
    <s v="RRL-1-0430"/>
    <n v="1"/>
    <n v="56672"/>
  </r>
  <r>
    <x v="28"/>
    <s v="KAILASH BHUPENDRA UGREJ"/>
    <s v="VRPL-1-0040"/>
    <n v="0.5"/>
    <n v="75142.5"/>
  </r>
  <r>
    <x v="28"/>
    <s v="PAPPU KUMAR MANDAL"/>
    <s v="VRPL-1-0049"/>
    <n v="1"/>
    <n v="70200"/>
  </r>
  <r>
    <x v="28"/>
    <s v="VIKKEE XALXLO  "/>
    <s v="RYG-1-0122"/>
    <n v="1"/>
    <n v="29922"/>
  </r>
  <r>
    <x v="29"/>
    <s v="ROHIT RAJABHAU SARAF "/>
    <s v="OEP-1-0076"/>
    <n v="0.33200000000000002"/>
    <n v="18260"/>
  </r>
  <r>
    <x v="29"/>
    <s v="GOURESH NAIK  "/>
    <s v="OEP-1-0084"/>
    <n v="0.33200000000000002"/>
    <n v="24900"/>
  </r>
  <r>
    <x v="29"/>
    <s v="GOURISH GANPAT NAIK"/>
    <s v="RYG-1-0157"/>
    <n v="0.33200000000000002"/>
    <n v="11620"/>
  </r>
  <r>
    <x v="29"/>
    <s v="SHAILESH PRABHAKAR MADALI"/>
    <s v="VPPL-1-0069"/>
    <n v="0.33200000000000002"/>
    <n v="58100"/>
  </r>
  <r>
    <x v="30"/>
    <s v="ROHIT RAJABHAU SARAF "/>
    <s v="OEP-1-0076"/>
    <n v="0.33200000000000002"/>
    <n v="18260"/>
  </r>
  <r>
    <x v="30"/>
    <s v="GOURESH NAIK  "/>
    <s v="OEP-1-0084"/>
    <n v="0.33200000000000002"/>
    <n v="24900"/>
  </r>
  <r>
    <x v="30"/>
    <s v="GOURISH GANPAT NAIK"/>
    <s v="RYG-1-0157"/>
    <n v="0.33200000000000002"/>
    <n v="11620"/>
  </r>
  <r>
    <x v="30"/>
    <s v="SHAILESH PRABHAKAR MADALI"/>
    <s v="VPPL-1-0069"/>
    <n v="0.33200000000000002"/>
    <n v="58100"/>
  </r>
  <r>
    <x v="31"/>
    <s v="ROHIT RAJABHAU SARAF "/>
    <s v="OEP-1-0076"/>
    <n v="0.33200000000000002"/>
    <n v="18260"/>
  </r>
  <r>
    <x v="31"/>
    <s v="GOURESH NAIK  "/>
    <s v="OEP-1-0084"/>
    <n v="0.33200000000000002"/>
    <n v="24900"/>
  </r>
  <r>
    <x v="31"/>
    <s v="GOURISH GANPAT NAIK"/>
    <s v="RYG-1-0157"/>
    <n v="0.33200000000000002"/>
    <n v="11620"/>
  </r>
  <r>
    <x v="31"/>
    <s v="SHAILESH PRABHAKAR MADALI"/>
    <s v="VPPL-1-0069"/>
    <n v="0.33200000000000002"/>
    <n v="58100"/>
  </r>
  <r>
    <x v="32"/>
    <s v="PRAKASH GANAGER  "/>
    <s v="OEP-1-0042"/>
    <n v="1"/>
    <n v="65313"/>
  </r>
  <r>
    <x v="32"/>
    <s v="BHIVA LAXMAN CHAVAN"/>
    <s v="VRPL-1-0057"/>
    <n v="1"/>
    <n v="101644"/>
  </r>
  <r>
    <x v="33"/>
    <s v="VAIBHAV BAPURAO SHINDE"/>
    <s v="OEP-1-0128"/>
    <n v="1"/>
    <n v="81719"/>
  </r>
  <r>
    <x v="33"/>
    <s v="SANKET SHYAM HADFADKAR   "/>
    <s v="RRL-1-0245"/>
    <n v="1"/>
    <n v="35974"/>
  </r>
  <r>
    <x v="33"/>
    <s v="TUSHAR TULSIDAS GOVENKAR"/>
    <s v="VRPL-1-0063"/>
    <n v="1"/>
    <n v="41400"/>
  </r>
  <r>
    <x v="34"/>
    <s v="SHRISTY TYAGI"/>
    <s v="IEP-1-0061"/>
    <n v="1"/>
    <n v="39000"/>
  </r>
  <r>
    <x v="34"/>
    <s v="KASHIMSAB NADAF"/>
    <s v="IEP-1-0117"/>
    <n v="1"/>
    <n v="108333"/>
  </r>
  <r>
    <x v="34"/>
    <s v="PRASAD PANDURANG JADHAV"/>
    <s v="IEP-1-0147"/>
    <n v="1"/>
    <n v="70000"/>
  </r>
  <r>
    <x v="35"/>
    <s v="AKBAR ADAM BAEKHAN"/>
    <s v="IEP-1-0115"/>
    <n v="1"/>
    <n v="22400"/>
  </r>
  <r>
    <x v="35"/>
    <s v="DILEEP HONNAPPA TANDEL"/>
    <s v="VRPL-1-0030"/>
    <n v="1"/>
    <n v="318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884F9E-153C-4182-969B-88E9A9C35E9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0" firstHeaderRow="1" firstDataRow="1" firstDataCol="1"/>
  <pivotFields count="5">
    <pivotField axis="axisRow" showAll="0">
      <items count="38">
        <item x="26"/>
        <item x="9"/>
        <item x="20"/>
        <item x="27"/>
        <item x="24"/>
        <item x="5"/>
        <item x="1"/>
        <item x="2"/>
        <item x="3"/>
        <item x="21"/>
        <item x="17"/>
        <item x="19"/>
        <item x="0"/>
        <item x="6"/>
        <item x="10"/>
        <item x="25"/>
        <item x="7"/>
        <item x="4"/>
        <item x="8"/>
        <item x="14"/>
        <item x="22"/>
        <item x="18"/>
        <item x="28"/>
        <item x="29"/>
        <item x="33"/>
        <item x="31"/>
        <item x="35"/>
        <item x="30"/>
        <item x="32"/>
        <item x="23"/>
        <item x="15"/>
        <item m="1" x="36"/>
        <item x="12"/>
        <item x="13"/>
        <item x="16"/>
        <item x="11"/>
        <item x="34"/>
        <item t="default"/>
      </items>
    </pivotField>
    <pivotField showAll="0"/>
    <pivotField showAll="0"/>
    <pivotField numFmtId="9" showAll="0"/>
    <pivotField numFmtId="164" showAll="0"/>
  </pivotFields>
  <rowFields count="1">
    <field x="0"/>
  </rowFields>
  <rowItems count="3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2"/>
    </i>
    <i>
      <x v="33"/>
    </i>
    <i>
      <x v="34"/>
    </i>
    <i>
      <x v="35"/>
    </i>
    <i>
      <x v="36"/>
    </i>
    <i t="grand">
      <x/>
    </i>
  </rowItems>
  <colItems count="1">
    <i/>
  </colItems>
  <formats count="11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0" type="button" dataOnly="0" labelOnly="1" outline="0" axis="axisRow" fieldPosition="0"/>
    </format>
    <format dxfId="8">
      <pivotArea dataOnly="0" labelOnly="1" fieldPosition="0">
        <references count="1">
          <reference field="0" count="0"/>
        </references>
      </pivotArea>
    </format>
    <format dxfId="7">
      <pivotArea dataOnly="0" labelOnly="1" grandRow="1" outline="0" fieldPosition="0"/>
    </format>
    <format dxfId="6">
      <pivotArea dataOnly="0" labelOnly="1" fieldPosition="0">
        <references count="1">
          <reference field="0" count="2">
            <x v="0"/>
            <x v="1"/>
          </reference>
        </references>
      </pivotArea>
    </format>
    <format dxfId="5">
      <pivotArea dataOnly="0" labelOnly="1" fieldPosition="0">
        <references count="1">
          <reference field="0" count="1">
            <x v="3"/>
          </reference>
        </references>
      </pivotArea>
    </format>
    <format dxfId="4">
      <pivotArea dataOnly="0" labelOnly="1" fieldPosition="0">
        <references count="1">
          <reference field="0" count="6">
            <x v="23"/>
            <x v="24"/>
            <x v="25"/>
            <x v="26"/>
            <x v="27"/>
            <x v="28"/>
          </reference>
        </references>
      </pivotArea>
    </format>
    <format dxfId="3">
      <pivotArea dataOnly="0" labelOnly="1" fieldPosition="0">
        <references count="1">
          <reference field="0" count="1">
            <x v="1"/>
          </reference>
        </references>
      </pivotArea>
    </format>
    <format dxfId="2">
      <pivotArea collapsedLevelsAreSubtotals="1" fieldPosition="0">
        <references count="1">
          <reference field="0" count="1">
            <x v="16"/>
          </reference>
        </references>
      </pivotArea>
    </format>
    <format dxfId="1">
      <pivotArea dataOnly="0" labelOnly="1" fieldPosition="0">
        <references count="1">
          <reference field="0" count="1">
            <x v="16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48" dT="2025-11-11T09:27:46.93" personId="{F1473C10-8948-4C04-8A98-2D1DE9CC83A2}" id="{F95292F9-6C10-4801-8B73-C62412A83C4F}">
    <text>Waterproofing for current under consturction projects</text>
  </threadedComment>
</ThreadedComment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42E8D-48E9-44A1-99B5-27D74F2B1D78}">
  <dimension ref="A1:AK106"/>
  <sheetViews>
    <sheetView workbookViewId="0">
      <pane xSplit="1" ySplit="2" topLeftCell="AC91" activePane="bottomRight" state="frozen"/>
      <selection pane="topRight" activeCell="B1" sqref="B1"/>
      <selection pane="bottomLeft" activeCell="A3" sqref="A3"/>
      <selection pane="bottomRight" activeCell="B1" sqref="B1:AK1048576"/>
    </sheetView>
  </sheetViews>
  <sheetFormatPr defaultRowHeight="14.5" x14ac:dyDescent="0.35"/>
  <cols>
    <col min="1" max="1" width="39.08984375" customWidth="1"/>
    <col min="2" max="2" width="6" bestFit="1" customWidth="1"/>
    <col min="3" max="3" width="8.81640625" bestFit="1" customWidth="1"/>
    <col min="4" max="4" width="9.81640625" bestFit="1" customWidth="1"/>
    <col min="5" max="5" width="14" bestFit="1" customWidth="1"/>
    <col min="6" max="6" width="8.81640625" bestFit="1" customWidth="1"/>
    <col min="7" max="9" width="10.7265625" bestFit="1" customWidth="1"/>
    <col min="10" max="10" width="12.1796875" bestFit="1" customWidth="1"/>
    <col min="11" max="11" width="9.7265625" bestFit="1" customWidth="1"/>
    <col min="12" max="12" width="13.453125" bestFit="1" customWidth="1"/>
    <col min="13" max="13" width="14.453125" bestFit="1" customWidth="1"/>
    <col min="14" max="14" width="10.26953125" bestFit="1" customWidth="1"/>
    <col min="15" max="15" width="11.1796875" bestFit="1" customWidth="1"/>
    <col min="16" max="16" width="10.1796875" bestFit="1" customWidth="1"/>
    <col min="17" max="17" width="11.1796875" bestFit="1" customWidth="1"/>
    <col min="18" max="18" width="11.26953125" bestFit="1" customWidth="1"/>
    <col min="19" max="19" width="9.81640625" bestFit="1" customWidth="1"/>
    <col min="20" max="20" width="8.26953125" bestFit="1" customWidth="1"/>
    <col min="21" max="21" width="9.26953125" bestFit="1" customWidth="1"/>
    <col min="22" max="22" width="9.1796875" bestFit="1" customWidth="1"/>
    <col min="23" max="23" width="10.453125" bestFit="1" customWidth="1"/>
    <col min="24" max="24" width="9.26953125" bestFit="1" customWidth="1"/>
    <col min="25" max="25" width="9.1796875" bestFit="1" customWidth="1"/>
    <col min="26" max="26" width="21.1796875" bestFit="1" customWidth="1"/>
    <col min="27" max="27" width="7.81640625" bestFit="1" customWidth="1"/>
    <col min="28" max="28" width="22" bestFit="1" customWidth="1"/>
    <col min="29" max="29" width="5.26953125" bestFit="1" customWidth="1"/>
    <col min="30" max="30" width="9" bestFit="1" customWidth="1"/>
    <col min="31" max="31" width="14.453125" bestFit="1" customWidth="1"/>
    <col min="32" max="32" width="14.1796875" bestFit="1" customWidth="1"/>
    <col min="33" max="33" width="12.26953125" bestFit="1" customWidth="1"/>
    <col min="34" max="34" width="12" bestFit="1" customWidth="1"/>
    <col min="35" max="35" width="23.81640625" bestFit="1" customWidth="1"/>
    <col min="36" max="36" width="11" bestFit="1" customWidth="1"/>
    <col min="37" max="37" width="19.54296875" customWidth="1"/>
  </cols>
  <sheetData>
    <row r="1" spans="1:37" x14ac:dyDescent="0.35">
      <c r="A1" s="26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2" t="s">
        <v>5</v>
      </c>
      <c r="G1" s="32" t="s">
        <v>6</v>
      </c>
      <c r="H1" s="32" t="s">
        <v>7</v>
      </c>
      <c r="I1" s="32" t="s">
        <v>8</v>
      </c>
      <c r="J1" s="32" t="s">
        <v>9</v>
      </c>
      <c r="K1" s="32" t="s">
        <v>10</v>
      </c>
      <c r="L1" s="32" t="s">
        <v>11</v>
      </c>
      <c r="M1" s="32" t="s">
        <v>12</v>
      </c>
      <c r="N1" s="32" t="s">
        <v>13</v>
      </c>
      <c r="O1" s="32" t="s">
        <v>14</v>
      </c>
      <c r="P1" s="32" t="s">
        <v>15</v>
      </c>
      <c r="Q1" s="32" t="s">
        <v>16</v>
      </c>
      <c r="R1" s="32" t="s">
        <v>17</v>
      </c>
      <c r="S1" s="32" t="s">
        <v>18</v>
      </c>
      <c r="T1" s="32" t="s">
        <v>19</v>
      </c>
      <c r="U1" s="32" t="s">
        <v>20</v>
      </c>
      <c r="V1" s="32" t="s">
        <v>21</v>
      </c>
      <c r="W1" s="32" t="s">
        <v>22</v>
      </c>
      <c r="X1" s="32" t="s">
        <v>23</v>
      </c>
      <c r="Y1" s="32" t="s">
        <v>24</v>
      </c>
      <c r="Z1" s="32" t="s">
        <v>25</v>
      </c>
      <c r="AA1" s="32" t="s">
        <v>26</v>
      </c>
      <c r="AB1" s="32" t="s">
        <v>27</v>
      </c>
      <c r="AC1" s="32" t="s">
        <v>28</v>
      </c>
      <c r="AD1" s="32" t="s">
        <v>29</v>
      </c>
      <c r="AE1" s="32" t="s">
        <v>30</v>
      </c>
      <c r="AF1" s="32" t="s">
        <v>31</v>
      </c>
      <c r="AG1" s="32" t="s">
        <v>32</v>
      </c>
      <c r="AH1" s="32" t="s">
        <v>33</v>
      </c>
      <c r="AI1" s="32" t="s">
        <v>34</v>
      </c>
      <c r="AJ1" s="32" t="s">
        <v>35</v>
      </c>
      <c r="AK1" s="29" t="s">
        <v>36</v>
      </c>
    </row>
    <row r="2" spans="1:37" x14ac:dyDescent="0.35">
      <c r="A2" s="27" t="s">
        <v>37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</row>
    <row r="3" spans="1:37" x14ac:dyDescent="0.35">
      <c r="A3" s="21" t="s">
        <v>70</v>
      </c>
      <c r="T3" t="s">
        <v>39</v>
      </c>
    </row>
    <row r="4" spans="1:37" x14ac:dyDescent="0.35">
      <c r="A4" s="21" t="s">
        <v>83</v>
      </c>
      <c r="U4" t="s">
        <v>39</v>
      </c>
    </row>
    <row r="5" spans="1:37" x14ac:dyDescent="0.35">
      <c r="A5" s="21" t="s">
        <v>63</v>
      </c>
      <c r="O5" t="s">
        <v>39</v>
      </c>
    </row>
    <row r="6" spans="1:37" x14ac:dyDescent="0.35">
      <c r="A6" s="34" t="s">
        <v>119</v>
      </c>
      <c r="O6" t="s">
        <v>39</v>
      </c>
    </row>
    <row r="7" spans="1:37" x14ac:dyDescent="0.35">
      <c r="A7" s="21" t="s">
        <v>87</v>
      </c>
      <c r="V7" t="s">
        <v>39</v>
      </c>
    </row>
    <row r="8" spans="1:37" x14ac:dyDescent="0.35">
      <c r="A8" s="21" t="s">
        <v>76</v>
      </c>
      <c r="P8" t="s">
        <v>39</v>
      </c>
    </row>
    <row r="9" spans="1:37" x14ac:dyDescent="0.35">
      <c r="A9" s="21" t="s">
        <v>93</v>
      </c>
      <c r="J9" t="s">
        <v>39</v>
      </c>
    </row>
    <row r="10" spans="1:37" x14ac:dyDescent="0.35">
      <c r="A10" s="21" t="s">
        <v>94</v>
      </c>
      <c r="K10" t="s">
        <v>39</v>
      </c>
    </row>
    <row r="11" spans="1:37" x14ac:dyDescent="0.35">
      <c r="A11" s="21" t="s">
        <v>101</v>
      </c>
      <c r="W11" t="s">
        <v>39</v>
      </c>
    </row>
    <row r="12" spans="1:37" x14ac:dyDescent="0.35">
      <c r="A12" s="21" t="s">
        <v>71</v>
      </c>
      <c r="T12" t="s">
        <v>39</v>
      </c>
    </row>
    <row r="13" spans="1:37" x14ac:dyDescent="0.35">
      <c r="A13" s="21" t="s">
        <v>88</v>
      </c>
      <c r="K13" t="s">
        <v>39</v>
      </c>
      <c r="V13" t="s">
        <v>39</v>
      </c>
      <c r="AE13" t="s">
        <v>39</v>
      </c>
      <c r="AF13" t="s">
        <v>39</v>
      </c>
    </row>
    <row r="14" spans="1:37" x14ac:dyDescent="0.35">
      <c r="A14" s="21" t="s">
        <v>122</v>
      </c>
      <c r="Y14" t="s">
        <v>39</v>
      </c>
    </row>
    <row r="15" spans="1:37" x14ac:dyDescent="0.35">
      <c r="A15" s="23" t="s">
        <v>95</v>
      </c>
      <c r="J15" t="s">
        <v>39</v>
      </c>
    </row>
    <row r="16" spans="1:37" x14ac:dyDescent="0.35">
      <c r="A16" s="21" t="s">
        <v>73</v>
      </c>
      <c r="P16" t="s">
        <v>39</v>
      </c>
    </row>
    <row r="17" spans="1:23" x14ac:dyDescent="0.35">
      <c r="A17" s="21" t="s">
        <v>114</v>
      </c>
      <c r="E17" t="s">
        <v>39</v>
      </c>
    </row>
    <row r="18" spans="1:23" x14ac:dyDescent="0.35">
      <c r="A18" s="21" t="s">
        <v>68</v>
      </c>
      <c r="T18" t="s">
        <v>39</v>
      </c>
    </row>
    <row r="19" spans="1:23" ht="29" x14ac:dyDescent="0.35">
      <c r="A19" s="35" t="s">
        <v>327</v>
      </c>
    </row>
    <row r="20" spans="1:23" x14ac:dyDescent="0.35">
      <c r="A20" s="24" t="s">
        <v>265</v>
      </c>
    </row>
    <row r="21" spans="1:23" x14ac:dyDescent="0.35">
      <c r="A21" s="21" t="s">
        <v>38</v>
      </c>
      <c r="M21" t="s">
        <v>316</v>
      </c>
      <c r="N21" t="s">
        <v>39</v>
      </c>
    </row>
    <row r="22" spans="1:23" x14ac:dyDescent="0.35">
      <c r="A22" s="21" t="s">
        <v>257</v>
      </c>
      <c r="B22" t="s">
        <v>39</v>
      </c>
    </row>
    <row r="23" spans="1:23" ht="29" x14ac:dyDescent="0.35">
      <c r="A23" s="35" t="s">
        <v>333</v>
      </c>
    </row>
    <row r="24" spans="1:23" x14ac:dyDescent="0.35">
      <c r="A24" s="21" t="s">
        <v>134</v>
      </c>
      <c r="D24" t="s">
        <v>39</v>
      </c>
    </row>
    <row r="25" spans="1:23" x14ac:dyDescent="0.35">
      <c r="A25" s="21" t="s">
        <v>105</v>
      </c>
      <c r="N25" t="s">
        <v>39</v>
      </c>
    </row>
    <row r="26" spans="1:23" x14ac:dyDescent="0.35">
      <c r="A26" s="33" t="s">
        <v>328</v>
      </c>
    </row>
    <row r="27" spans="1:23" x14ac:dyDescent="0.35">
      <c r="A27" s="21" t="s">
        <v>256</v>
      </c>
      <c r="V27" t="s">
        <v>39</v>
      </c>
    </row>
    <row r="28" spans="1:23" x14ac:dyDescent="0.35">
      <c r="A28" s="21" t="s">
        <v>55</v>
      </c>
      <c r="J28" t="s">
        <v>39</v>
      </c>
    </row>
    <row r="29" spans="1:23" x14ac:dyDescent="0.35">
      <c r="A29" s="21" t="s">
        <v>100</v>
      </c>
      <c r="W29" t="s">
        <v>39</v>
      </c>
    </row>
    <row r="30" spans="1:23" x14ac:dyDescent="0.35">
      <c r="A30" s="21" t="s">
        <v>45</v>
      </c>
      <c r="G30" t="s">
        <v>39</v>
      </c>
      <c r="H30" t="s">
        <v>39</v>
      </c>
    </row>
    <row r="31" spans="1:23" x14ac:dyDescent="0.35">
      <c r="A31" s="21" t="s">
        <v>69</v>
      </c>
      <c r="S31" t="s">
        <v>39</v>
      </c>
    </row>
    <row r="32" spans="1:23" x14ac:dyDescent="0.35">
      <c r="A32" s="21" t="s">
        <v>64</v>
      </c>
      <c r="O32" t="s">
        <v>39</v>
      </c>
    </row>
    <row r="33" spans="1:37" x14ac:dyDescent="0.35">
      <c r="A33" s="21" t="s">
        <v>96</v>
      </c>
      <c r="Q33" t="s">
        <v>39</v>
      </c>
    </row>
    <row r="34" spans="1:37" x14ac:dyDescent="0.35">
      <c r="A34" s="21" t="s">
        <v>51</v>
      </c>
      <c r="I34" t="s">
        <v>39</v>
      </c>
      <c r="J34" t="s">
        <v>39</v>
      </c>
      <c r="W34" t="s">
        <v>39</v>
      </c>
    </row>
    <row r="35" spans="1:37" x14ac:dyDescent="0.35">
      <c r="A35" s="33" t="s">
        <v>318</v>
      </c>
    </row>
    <row r="36" spans="1:37" x14ac:dyDescent="0.35">
      <c r="A36" s="33" t="s">
        <v>319</v>
      </c>
    </row>
    <row r="37" spans="1:37" x14ac:dyDescent="0.35">
      <c r="A37" s="21" t="s">
        <v>40</v>
      </c>
      <c r="M37" t="s">
        <v>39</v>
      </c>
    </row>
    <row r="38" spans="1:37" x14ac:dyDescent="0.35">
      <c r="A38" s="21" t="s">
        <v>80</v>
      </c>
      <c r="AG38" t="s">
        <v>39</v>
      </c>
    </row>
    <row r="39" spans="1:37" x14ac:dyDescent="0.35">
      <c r="A39" s="21" t="s">
        <v>112</v>
      </c>
      <c r="B39" t="s">
        <v>39</v>
      </c>
    </row>
    <row r="40" spans="1:37" x14ac:dyDescent="0.35">
      <c r="A40" s="21" t="s">
        <v>56</v>
      </c>
      <c r="S40" t="s">
        <v>39</v>
      </c>
    </row>
    <row r="41" spans="1:37" x14ac:dyDescent="0.35">
      <c r="A41" s="33" t="s">
        <v>317</v>
      </c>
    </row>
    <row r="42" spans="1:37" x14ac:dyDescent="0.35">
      <c r="A42" s="21" t="s">
        <v>57</v>
      </c>
      <c r="S42" t="s">
        <v>39</v>
      </c>
    </row>
    <row r="43" spans="1:37" x14ac:dyDescent="0.35">
      <c r="A43" s="33" t="s">
        <v>320</v>
      </c>
    </row>
    <row r="44" spans="1:37" x14ac:dyDescent="0.35">
      <c r="A44" s="21" t="s">
        <v>260</v>
      </c>
      <c r="AK44" t="s">
        <v>321</v>
      </c>
    </row>
    <row r="45" spans="1:37" x14ac:dyDescent="0.35">
      <c r="A45" s="34" t="s">
        <v>135</v>
      </c>
      <c r="Q45" t="s">
        <v>39</v>
      </c>
    </row>
    <row r="46" spans="1:37" x14ac:dyDescent="0.35">
      <c r="A46" s="21" t="s">
        <v>129</v>
      </c>
      <c r="C46" t="s">
        <v>39</v>
      </c>
      <c r="G46" t="s">
        <v>316</v>
      </c>
      <c r="H46" t="s">
        <v>39</v>
      </c>
      <c r="O46" t="s">
        <v>39</v>
      </c>
      <c r="P46" t="s">
        <v>39</v>
      </c>
      <c r="Q46" t="s">
        <v>39</v>
      </c>
      <c r="S46" t="s">
        <v>39</v>
      </c>
    </row>
    <row r="47" spans="1:37" x14ac:dyDescent="0.35">
      <c r="A47" s="21" t="s">
        <v>117</v>
      </c>
      <c r="J47" t="s">
        <v>39</v>
      </c>
    </row>
    <row r="48" spans="1:37" x14ac:dyDescent="0.35">
      <c r="A48" s="21" t="s">
        <v>72</v>
      </c>
      <c r="C48" t="s">
        <v>39</v>
      </c>
    </row>
    <row r="49" spans="1:37" x14ac:dyDescent="0.35">
      <c r="A49" s="21" t="s">
        <v>107</v>
      </c>
      <c r="F49" t="s">
        <v>39</v>
      </c>
    </row>
    <row r="50" spans="1:37" x14ac:dyDescent="0.35">
      <c r="A50" s="21" t="s">
        <v>92</v>
      </c>
      <c r="D50" t="s">
        <v>39</v>
      </c>
    </row>
    <row r="51" spans="1:37" x14ac:dyDescent="0.35">
      <c r="A51" s="21" t="s">
        <v>111</v>
      </c>
      <c r="AI51" t="s">
        <v>39</v>
      </c>
    </row>
    <row r="52" spans="1:37" x14ac:dyDescent="0.35">
      <c r="A52" s="36" t="s">
        <v>329</v>
      </c>
    </row>
    <row r="53" spans="1:37" x14ac:dyDescent="0.35">
      <c r="A53" s="34" t="s">
        <v>258</v>
      </c>
      <c r="AK53" t="s">
        <v>330</v>
      </c>
    </row>
    <row r="54" spans="1:37" x14ac:dyDescent="0.35">
      <c r="A54" s="21" t="s">
        <v>43</v>
      </c>
      <c r="G54" t="s">
        <v>39</v>
      </c>
      <c r="H54" t="s">
        <v>39</v>
      </c>
      <c r="M54" t="s">
        <v>39</v>
      </c>
      <c r="N54" t="s">
        <v>39</v>
      </c>
      <c r="Z54" t="s">
        <v>322</v>
      </c>
    </row>
    <row r="55" spans="1:37" x14ac:dyDescent="0.35">
      <c r="A55" s="21" t="s">
        <v>46</v>
      </c>
      <c r="G55" t="s">
        <v>39</v>
      </c>
      <c r="H55" t="s">
        <v>39</v>
      </c>
    </row>
    <row r="56" spans="1:37" x14ac:dyDescent="0.35">
      <c r="A56" s="21" t="s">
        <v>130</v>
      </c>
      <c r="G56" t="s">
        <v>316</v>
      </c>
    </row>
    <row r="57" spans="1:37" x14ac:dyDescent="0.35">
      <c r="A57" s="21" t="s">
        <v>116</v>
      </c>
    </row>
    <row r="58" spans="1:37" x14ac:dyDescent="0.35">
      <c r="A58" s="21" t="s">
        <v>52</v>
      </c>
      <c r="I58" t="s">
        <v>39</v>
      </c>
    </row>
    <row r="59" spans="1:37" x14ac:dyDescent="0.35">
      <c r="A59" s="21" t="s">
        <v>58</v>
      </c>
      <c r="S59" t="s">
        <v>39</v>
      </c>
    </row>
    <row r="60" spans="1:37" x14ac:dyDescent="0.35">
      <c r="A60" s="21" t="s">
        <v>127</v>
      </c>
      <c r="B60" t="s">
        <v>39</v>
      </c>
    </row>
    <row r="61" spans="1:37" x14ac:dyDescent="0.35">
      <c r="A61" s="21" t="s">
        <v>91</v>
      </c>
      <c r="AI61" t="s">
        <v>39</v>
      </c>
    </row>
    <row r="62" spans="1:37" x14ac:dyDescent="0.35">
      <c r="A62" s="21" t="s">
        <v>82</v>
      </c>
      <c r="AJ62" t="s">
        <v>39</v>
      </c>
    </row>
    <row r="63" spans="1:37" x14ac:dyDescent="0.35">
      <c r="A63" s="34" t="s">
        <v>54</v>
      </c>
      <c r="J63" t="s">
        <v>39</v>
      </c>
    </row>
    <row r="64" spans="1:37" x14ac:dyDescent="0.35">
      <c r="A64" s="21" t="s">
        <v>79</v>
      </c>
      <c r="AG64" t="s">
        <v>39</v>
      </c>
    </row>
    <row r="65" spans="1:29" x14ac:dyDescent="0.35">
      <c r="A65" s="21" t="s">
        <v>47</v>
      </c>
      <c r="I65" t="s">
        <v>39</v>
      </c>
    </row>
    <row r="66" spans="1:29" x14ac:dyDescent="0.35">
      <c r="A66" s="21" t="s">
        <v>323</v>
      </c>
    </row>
    <row r="67" spans="1:29" x14ac:dyDescent="0.35">
      <c r="A67" s="33" t="s">
        <v>331</v>
      </c>
    </row>
    <row r="68" spans="1:29" x14ac:dyDescent="0.35">
      <c r="A68" s="21" t="s">
        <v>121</v>
      </c>
      <c r="Y68" t="s">
        <v>39</v>
      </c>
    </row>
    <row r="69" spans="1:29" x14ac:dyDescent="0.35">
      <c r="A69" s="21" t="s">
        <v>85</v>
      </c>
      <c r="V69" t="s">
        <v>39</v>
      </c>
    </row>
    <row r="70" spans="1:29" x14ac:dyDescent="0.35">
      <c r="A70" s="21" t="s">
        <v>84</v>
      </c>
      <c r="U70" t="s">
        <v>39</v>
      </c>
    </row>
    <row r="71" spans="1:29" x14ac:dyDescent="0.35">
      <c r="A71" s="21" t="s">
        <v>98</v>
      </c>
      <c r="Q71" t="s">
        <v>39</v>
      </c>
    </row>
    <row r="72" spans="1:29" x14ac:dyDescent="0.35">
      <c r="A72" s="34" t="s">
        <v>126</v>
      </c>
      <c r="U72" t="s">
        <v>39</v>
      </c>
    </row>
    <row r="73" spans="1:29" x14ac:dyDescent="0.35">
      <c r="A73" s="21" t="s">
        <v>113</v>
      </c>
      <c r="E73" t="s">
        <v>39</v>
      </c>
    </row>
    <row r="74" spans="1:29" x14ac:dyDescent="0.35">
      <c r="A74" s="21" t="s">
        <v>67</v>
      </c>
      <c r="D74" t="s">
        <v>39</v>
      </c>
    </row>
    <row r="75" spans="1:29" x14ac:dyDescent="0.35">
      <c r="A75" s="21" t="s">
        <v>123</v>
      </c>
      <c r="Y75" t="s">
        <v>39</v>
      </c>
      <c r="AA75" t="s">
        <v>39</v>
      </c>
      <c r="AC75" t="s">
        <v>39</v>
      </c>
    </row>
    <row r="76" spans="1:29" x14ac:dyDescent="0.35">
      <c r="A76" s="21" t="s">
        <v>120</v>
      </c>
      <c r="Y76" t="s">
        <v>39</v>
      </c>
    </row>
    <row r="77" spans="1:29" x14ac:dyDescent="0.35">
      <c r="A77" s="21" t="s">
        <v>108</v>
      </c>
      <c r="F77" t="s">
        <v>39</v>
      </c>
    </row>
    <row r="78" spans="1:29" x14ac:dyDescent="0.35">
      <c r="A78" s="21" t="s">
        <v>110</v>
      </c>
      <c r="L78" t="s">
        <v>39</v>
      </c>
    </row>
    <row r="79" spans="1:29" x14ac:dyDescent="0.35">
      <c r="A79" s="21" t="s">
        <v>59</v>
      </c>
      <c r="S79" t="s">
        <v>39</v>
      </c>
    </row>
    <row r="80" spans="1:29" x14ac:dyDescent="0.35">
      <c r="A80" s="21" t="s">
        <v>102</v>
      </c>
      <c r="W80" t="s">
        <v>39</v>
      </c>
    </row>
    <row r="81" spans="1:35" x14ac:dyDescent="0.35">
      <c r="A81" s="21" t="s">
        <v>103</v>
      </c>
      <c r="Y81" t="s">
        <v>39</v>
      </c>
    </row>
    <row r="82" spans="1:35" x14ac:dyDescent="0.35">
      <c r="A82" s="21" t="s">
        <v>99</v>
      </c>
      <c r="D82" t="s">
        <v>39</v>
      </c>
    </row>
    <row r="83" spans="1:35" x14ac:dyDescent="0.35">
      <c r="A83" s="34" t="s">
        <v>109</v>
      </c>
      <c r="P83" t="s">
        <v>39</v>
      </c>
    </row>
    <row r="84" spans="1:35" x14ac:dyDescent="0.35">
      <c r="A84" s="7" t="s">
        <v>324</v>
      </c>
    </row>
    <row r="85" spans="1:35" x14ac:dyDescent="0.35">
      <c r="A85" s="7" t="s">
        <v>262</v>
      </c>
    </row>
    <row r="86" spans="1:35" x14ac:dyDescent="0.35">
      <c r="A86" s="7" t="s">
        <v>325</v>
      </c>
    </row>
    <row r="87" spans="1:35" x14ac:dyDescent="0.35">
      <c r="A87" s="7" t="s">
        <v>326</v>
      </c>
    </row>
    <row r="88" spans="1:35" ht="29" x14ac:dyDescent="0.35">
      <c r="A88" s="35" t="s">
        <v>332</v>
      </c>
    </row>
    <row r="89" spans="1:35" x14ac:dyDescent="0.35">
      <c r="A89" s="21" t="s">
        <v>115</v>
      </c>
      <c r="E89" t="s">
        <v>39</v>
      </c>
    </row>
    <row r="90" spans="1:35" x14ac:dyDescent="0.35">
      <c r="A90" s="21" t="s">
        <v>60</v>
      </c>
      <c r="G90" t="s">
        <v>39</v>
      </c>
      <c r="H90" t="s">
        <v>39</v>
      </c>
    </row>
    <row r="91" spans="1:35" x14ac:dyDescent="0.35">
      <c r="A91" s="21" t="s">
        <v>66</v>
      </c>
      <c r="S91" t="s">
        <v>39</v>
      </c>
    </row>
    <row r="92" spans="1:35" x14ac:dyDescent="0.35">
      <c r="A92" s="21" t="s">
        <v>314</v>
      </c>
      <c r="AD92" t="s">
        <v>39</v>
      </c>
    </row>
    <row r="93" spans="1:35" x14ac:dyDescent="0.35">
      <c r="A93" s="21" t="s">
        <v>90</v>
      </c>
      <c r="AI93" t="s">
        <v>39</v>
      </c>
    </row>
    <row r="94" spans="1:35" x14ac:dyDescent="0.35">
      <c r="A94" s="21" t="s">
        <v>74</v>
      </c>
      <c r="B94" t="s">
        <v>39</v>
      </c>
      <c r="F94" t="s">
        <v>39</v>
      </c>
      <c r="P94" t="s">
        <v>39</v>
      </c>
      <c r="AI94" t="s">
        <v>39</v>
      </c>
    </row>
    <row r="95" spans="1:35" x14ac:dyDescent="0.35">
      <c r="A95" s="21" t="s">
        <v>48</v>
      </c>
      <c r="I95" t="s">
        <v>39</v>
      </c>
    </row>
    <row r="96" spans="1:35" x14ac:dyDescent="0.35">
      <c r="A96" s="21" t="s">
        <v>136</v>
      </c>
      <c r="M96" t="s">
        <v>39</v>
      </c>
    </row>
    <row r="97" spans="1:30" x14ac:dyDescent="0.35">
      <c r="A97" s="21" t="s">
        <v>104</v>
      </c>
      <c r="M97" t="s">
        <v>39</v>
      </c>
    </row>
    <row r="98" spans="1:30" x14ac:dyDescent="0.35">
      <c r="A98" s="21" t="s">
        <v>86</v>
      </c>
      <c r="K98" t="s">
        <v>39</v>
      </c>
    </row>
    <row r="99" spans="1:30" x14ac:dyDescent="0.35">
      <c r="A99" s="21" t="s">
        <v>65</v>
      </c>
      <c r="O99" t="s">
        <v>39</v>
      </c>
    </row>
    <row r="100" spans="1:30" x14ac:dyDescent="0.35">
      <c r="A100" s="21" t="s">
        <v>75</v>
      </c>
      <c r="P100" t="s">
        <v>39</v>
      </c>
    </row>
    <row r="101" spans="1:30" x14ac:dyDescent="0.35">
      <c r="A101" s="21" t="s">
        <v>118</v>
      </c>
      <c r="I101" t="s">
        <v>39</v>
      </c>
    </row>
    <row r="102" spans="1:30" x14ac:dyDescent="0.35">
      <c r="A102" s="21" t="s">
        <v>49</v>
      </c>
      <c r="I102" t="s">
        <v>39</v>
      </c>
    </row>
    <row r="103" spans="1:30" x14ac:dyDescent="0.35">
      <c r="A103" s="21" t="s">
        <v>61</v>
      </c>
      <c r="H103" t="s">
        <v>39</v>
      </c>
    </row>
    <row r="104" spans="1:30" x14ac:dyDescent="0.35">
      <c r="A104" s="34" t="s">
        <v>334</v>
      </c>
    </row>
    <row r="105" spans="1:30" x14ac:dyDescent="0.35">
      <c r="A105" s="21" t="s">
        <v>50</v>
      </c>
      <c r="I105" t="s">
        <v>39</v>
      </c>
    </row>
    <row r="106" spans="1:30" x14ac:dyDescent="0.35">
      <c r="A106" s="21" t="s">
        <v>125</v>
      </c>
      <c r="AD106" t="s">
        <v>39</v>
      </c>
    </row>
  </sheetData>
  <autoFilter ref="A1:AK106" xr:uid="{3FD42E8D-48E9-44A1-99B5-27D74F2B1D7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DD9DA-7AFF-4BBA-9B97-5875EB8E0279}">
  <dimension ref="A1:AK106"/>
  <sheetViews>
    <sheetView tabSelected="1" workbookViewId="0">
      <selection activeCell="A74" sqref="A74"/>
    </sheetView>
  </sheetViews>
  <sheetFormatPr defaultRowHeight="14.5" x14ac:dyDescent="0.35"/>
  <cols>
    <col min="1" max="1" width="38.7265625" style="16" bestFit="1" customWidth="1"/>
    <col min="2" max="2" width="6" bestFit="1" customWidth="1"/>
    <col min="3" max="3" width="8.81640625" bestFit="1" customWidth="1"/>
    <col min="4" max="4" width="9.81640625" bestFit="1" customWidth="1"/>
    <col min="5" max="5" width="14" bestFit="1" customWidth="1"/>
    <col min="6" max="6" width="8.81640625" bestFit="1" customWidth="1"/>
    <col min="7" max="9" width="10.7265625" bestFit="1" customWidth="1"/>
    <col min="10" max="10" width="12.1796875" bestFit="1" customWidth="1"/>
    <col min="11" max="11" width="9.7265625" bestFit="1" customWidth="1"/>
    <col min="12" max="12" width="13.453125" bestFit="1" customWidth="1"/>
    <col min="13" max="13" width="14.453125" bestFit="1" customWidth="1"/>
    <col min="14" max="14" width="10.26953125" bestFit="1" customWidth="1"/>
    <col min="15" max="15" width="11.1796875" bestFit="1" customWidth="1"/>
    <col min="16" max="16" width="10.1796875" bestFit="1" customWidth="1"/>
    <col min="17" max="17" width="11.1796875" bestFit="1" customWidth="1"/>
    <col min="18" max="18" width="11.26953125" bestFit="1" customWidth="1"/>
    <col min="19" max="19" width="9.81640625" bestFit="1" customWidth="1"/>
    <col min="20" max="20" width="8.26953125" bestFit="1" customWidth="1"/>
    <col min="21" max="21" width="9.26953125" bestFit="1" customWidth="1"/>
    <col min="22" max="22" width="9.1796875" bestFit="1" customWidth="1"/>
    <col min="23" max="23" width="10.453125" bestFit="1" customWidth="1"/>
    <col min="24" max="24" width="9.26953125" bestFit="1" customWidth="1"/>
    <col min="25" max="25" width="9.1796875" bestFit="1" customWidth="1"/>
    <col min="26" max="26" width="21.1796875" bestFit="1" customWidth="1"/>
    <col min="27" max="27" width="7.81640625" bestFit="1" customWidth="1"/>
    <col min="28" max="28" width="22" bestFit="1" customWidth="1"/>
    <col min="29" max="29" width="5.26953125" bestFit="1" customWidth="1"/>
    <col min="30" max="30" width="9" bestFit="1" customWidth="1"/>
    <col min="31" max="31" width="14.453125" bestFit="1" customWidth="1"/>
    <col min="32" max="32" width="14.1796875" bestFit="1" customWidth="1"/>
    <col min="33" max="33" width="12.26953125" bestFit="1" customWidth="1"/>
    <col min="34" max="34" width="12" bestFit="1" customWidth="1"/>
    <col min="35" max="35" width="23.81640625" bestFit="1" customWidth="1"/>
    <col min="36" max="36" width="11" bestFit="1" customWidth="1"/>
    <col min="37" max="37" width="19.54296875" customWidth="1"/>
    <col min="38" max="16384" width="8.7265625" style="16"/>
  </cols>
  <sheetData>
    <row r="1" spans="1:37" x14ac:dyDescent="0.35">
      <c r="A1" s="40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2" t="s">
        <v>5</v>
      </c>
      <c r="G1" s="32" t="s">
        <v>6</v>
      </c>
      <c r="H1" s="32" t="s">
        <v>7</v>
      </c>
      <c r="I1" s="32" t="s">
        <v>8</v>
      </c>
      <c r="J1" s="32" t="s">
        <v>9</v>
      </c>
      <c r="K1" s="32" t="s">
        <v>10</v>
      </c>
      <c r="L1" s="32" t="s">
        <v>11</v>
      </c>
      <c r="M1" s="32" t="s">
        <v>12</v>
      </c>
      <c r="N1" s="32" t="s">
        <v>13</v>
      </c>
      <c r="O1" s="32" t="s">
        <v>14</v>
      </c>
      <c r="P1" s="32" t="s">
        <v>15</v>
      </c>
      <c r="Q1" s="32" t="s">
        <v>16</v>
      </c>
      <c r="R1" s="32" t="s">
        <v>17</v>
      </c>
      <c r="S1" s="32" t="s">
        <v>18</v>
      </c>
      <c r="T1" s="32" t="s">
        <v>19</v>
      </c>
      <c r="U1" s="32" t="s">
        <v>20</v>
      </c>
      <c r="V1" s="32" t="s">
        <v>21</v>
      </c>
      <c r="W1" s="32" t="s">
        <v>22</v>
      </c>
      <c r="X1" s="32" t="s">
        <v>23</v>
      </c>
      <c r="Y1" s="32" t="s">
        <v>24</v>
      </c>
      <c r="Z1" s="32" t="s">
        <v>25</v>
      </c>
      <c r="AA1" s="32" t="s">
        <v>26</v>
      </c>
      <c r="AB1" s="32" t="s">
        <v>27</v>
      </c>
      <c r="AC1" s="32" t="s">
        <v>28</v>
      </c>
      <c r="AD1" s="32" t="s">
        <v>29</v>
      </c>
      <c r="AE1" s="32" t="s">
        <v>30</v>
      </c>
      <c r="AF1" s="32" t="s">
        <v>31</v>
      </c>
      <c r="AG1" s="32" t="s">
        <v>32</v>
      </c>
      <c r="AH1" s="32" t="s">
        <v>33</v>
      </c>
      <c r="AI1" s="32" t="s">
        <v>34</v>
      </c>
      <c r="AJ1" s="32" t="s">
        <v>35</v>
      </c>
      <c r="AK1" s="29" t="s">
        <v>36</v>
      </c>
    </row>
    <row r="2" spans="1:37" x14ac:dyDescent="0.35">
      <c r="A2" s="41" t="s">
        <v>37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</row>
    <row r="3" spans="1:37" x14ac:dyDescent="0.35">
      <c r="A3" s="16" t="str" cm="1">
        <f t="array" ref="A3:A106">_xlfn._xlws.FILTER('Emp Master'!$B$2:$B$299,'Emp Master'!$B$2:$B$299&lt;&gt;"","No Employees")</f>
        <v>MOHAMMEDIRFAN PATEL</v>
      </c>
      <c r="T3" t="s">
        <v>39</v>
      </c>
    </row>
    <row r="4" spans="1:37" x14ac:dyDescent="0.35">
      <c r="A4" s="16" t="str">
        <v>SAIRAJ SAVLARAM MORUDKAR</v>
      </c>
      <c r="U4" t="s">
        <v>39</v>
      </c>
    </row>
    <row r="5" spans="1:37" x14ac:dyDescent="0.35">
      <c r="A5" s="16" t="str">
        <v>MOHAMMED FAIZ JATU</v>
      </c>
      <c r="O5" t="s">
        <v>39</v>
      </c>
    </row>
    <row r="6" spans="1:37" x14ac:dyDescent="0.35">
      <c r="A6" s="16" t="str">
        <v xml:space="preserve">VIKKEE XALXLO  </v>
      </c>
      <c r="O6" t="s">
        <v>39</v>
      </c>
    </row>
    <row r="7" spans="1:37" x14ac:dyDescent="0.35">
      <c r="A7" s="16" t="str">
        <v xml:space="preserve">SHEKHAR SHAMRAO PATIL SHAMRAO SHRRAE </v>
      </c>
      <c r="V7" t="s">
        <v>39</v>
      </c>
    </row>
    <row r="8" spans="1:37" x14ac:dyDescent="0.35">
      <c r="A8" s="16" t="str">
        <v xml:space="preserve">AKSHAY MANDREKAR  </v>
      </c>
      <c r="P8" t="s">
        <v>39</v>
      </c>
    </row>
    <row r="9" spans="1:37" x14ac:dyDescent="0.35">
      <c r="A9" s="16" t="str">
        <v xml:space="preserve">VIRAJ BABURAO RANE </v>
      </c>
      <c r="J9" t="s">
        <v>39</v>
      </c>
    </row>
    <row r="10" spans="1:37" x14ac:dyDescent="0.35">
      <c r="A10" s="16" t="str">
        <v>HUSAIN ANSARI</v>
      </c>
      <c r="K10" t="s">
        <v>39</v>
      </c>
    </row>
    <row r="11" spans="1:37" x14ac:dyDescent="0.35">
      <c r="A11" s="16" t="str">
        <v>VAIBHAV BALASO PATIL</v>
      </c>
      <c r="W11" t="s">
        <v>39</v>
      </c>
    </row>
    <row r="12" spans="1:37" x14ac:dyDescent="0.35">
      <c r="A12" s="16" t="str">
        <v>JOTIBA MAHIPAT PATIL</v>
      </c>
      <c r="T12" t="s">
        <v>39</v>
      </c>
    </row>
    <row r="13" spans="1:37" x14ac:dyDescent="0.35">
      <c r="A13" s="16" t="str">
        <v>AMAR BALGONDA PATIL</v>
      </c>
      <c r="K13" t="s">
        <v>39</v>
      </c>
      <c r="V13" t="s">
        <v>39</v>
      </c>
      <c r="AE13" t="s">
        <v>39</v>
      </c>
      <c r="AF13" t="s">
        <v>39</v>
      </c>
    </row>
    <row r="14" spans="1:37" x14ac:dyDescent="0.35">
      <c r="A14" s="16" t="str">
        <v>GOURISH GANPAT NAIK</v>
      </c>
      <c r="Y14" t="s">
        <v>39</v>
      </c>
    </row>
    <row r="15" spans="1:37" x14ac:dyDescent="0.35">
      <c r="A15" s="16" t="str">
        <v>MANJUNATH RUDRAPPA CHOPADE</v>
      </c>
      <c r="J15" t="s">
        <v>39</v>
      </c>
    </row>
    <row r="16" spans="1:37" x14ac:dyDescent="0.35">
      <c r="A16" s="16" t="str">
        <v xml:space="preserve">DEVALU CHAVHAN  </v>
      </c>
      <c r="P16" t="s">
        <v>39</v>
      </c>
    </row>
    <row r="17" spans="1:23" x14ac:dyDescent="0.35">
      <c r="A17" s="16" t="str">
        <v>AJAY THAKUR</v>
      </c>
      <c r="E17" t="s">
        <v>39</v>
      </c>
    </row>
    <row r="18" spans="1:23" x14ac:dyDescent="0.35">
      <c r="A18" s="16" t="str">
        <v>MAYUR VITTHAL PARAB</v>
      </c>
      <c r="T18" t="s">
        <v>39</v>
      </c>
    </row>
    <row r="19" spans="1:23" x14ac:dyDescent="0.35">
      <c r="A19" s="16" t="str">
        <v>DARSH PRASAD MANDREKAR</v>
      </c>
    </row>
    <row r="20" spans="1:23" x14ac:dyDescent="0.35">
      <c r="A20" s="16" t="str">
        <v>CEANA MARY FERNANDES</v>
      </c>
    </row>
    <row r="21" spans="1:23" x14ac:dyDescent="0.35">
      <c r="A21" s="16" t="str">
        <v>PUJA VAIBHAV NAIK</v>
      </c>
      <c r="M21" t="s">
        <v>316</v>
      </c>
      <c r="N21" t="s">
        <v>39</v>
      </c>
    </row>
    <row r="22" spans="1:23" x14ac:dyDescent="0.35">
      <c r="A22" s="16" t="str">
        <v>NAIDU KRISHNA AMBISWAMI</v>
      </c>
      <c r="B22" t="s">
        <v>39</v>
      </c>
    </row>
    <row r="23" spans="1:23" x14ac:dyDescent="0.35">
      <c r="A23" s="16" t="str">
        <v>KUNDAN KRISHNA MAHALE</v>
      </c>
    </row>
    <row r="24" spans="1:23" x14ac:dyDescent="0.35">
      <c r="A24" s="16" t="str">
        <v>VAIBHAV BAPURAO SHINDE</v>
      </c>
      <c r="D24" t="s">
        <v>39</v>
      </c>
    </row>
    <row r="25" spans="1:23" x14ac:dyDescent="0.35">
      <c r="A25" s="16" t="str">
        <v>ASHISH ANAND ARLEKAR</v>
      </c>
      <c r="N25" t="s">
        <v>39</v>
      </c>
    </row>
    <row r="26" spans="1:23" x14ac:dyDescent="0.35">
      <c r="A26" s="16" t="str">
        <v xml:space="preserve">AKMAL KHAN  </v>
      </c>
    </row>
    <row r="27" spans="1:23" x14ac:dyDescent="0.35">
      <c r="A27" s="16" t="str">
        <v>GAJANAN  KRISHNA GAONKAR</v>
      </c>
      <c r="V27" t="s">
        <v>39</v>
      </c>
    </row>
    <row r="28" spans="1:23" x14ac:dyDescent="0.35">
      <c r="A28" s="16" t="str">
        <v xml:space="preserve">NEETENDAR SHARMA  </v>
      </c>
      <c r="J28" t="s">
        <v>39</v>
      </c>
    </row>
    <row r="29" spans="1:23" x14ac:dyDescent="0.35">
      <c r="A29" s="16" t="str">
        <v>NAMDEV CHOPADE</v>
      </c>
      <c r="W29" t="s">
        <v>39</v>
      </c>
    </row>
    <row r="30" spans="1:23" x14ac:dyDescent="0.35">
      <c r="A30" s="16" t="str">
        <v>DINESH SHARMA</v>
      </c>
      <c r="G30" t="s">
        <v>39</v>
      </c>
      <c r="H30" t="s">
        <v>39</v>
      </c>
    </row>
    <row r="31" spans="1:23" x14ac:dyDescent="0.35">
      <c r="A31" s="16" t="str">
        <v>GOVIND DATTATRAY DALVI</v>
      </c>
      <c r="S31" t="s">
        <v>39</v>
      </c>
    </row>
    <row r="32" spans="1:23" x14ac:dyDescent="0.35">
      <c r="A32" s="16" t="str">
        <v>KALLAPPA DATTATRAY NARVEKAR</v>
      </c>
      <c r="O32" t="s">
        <v>39</v>
      </c>
    </row>
    <row r="33" spans="1:37" x14ac:dyDescent="0.35">
      <c r="A33" s="16" t="str">
        <v>YUVARAJ PRAKASH PATIL</v>
      </c>
      <c r="Q33" t="s">
        <v>39</v>
      </c>
    </row>
    <row r="34" spans="1:37" x14ac:dyDescent="0.35">
      <c r="A34" s="16" t="str">
        <v xml:space="preserve">CHETAN KUNDAP  </v>
      </c>
      <c r="I34" t="s">
        <v>39</v>
      </c>
      <c r="J34" t="s">
        <v>39</v>
      </c>
      <c r="W34" t="s">
        <v>39</v>
      </c>
    </row>
    <row r="35" spans="1:37" x14ac:dyDescent="0.35">
      <c r="A35" s="16" t="str">
        <v>ASIM MOHAMMAD YUNNUS JAMADAR</v>
      </c>
    </row>
    <row r="36" spans="1:37" x14ac:dyDescent="0.35">
      <c r="A36" s="16" t="str">
        <v>ARUN PRASAD</v>
      </c>
    </row>
    <row r="37" spans="1:37" x14ac:dyDescent="0.35">
      <c r="A37" s="16" t="str">
        <v>VINOD V TANDEL</v>
      </c>
      <c r="M37" t="s">
        <v>39</v>
      </c>
    </row>
    <row r="38" spans="1:37" x14ac:dyDescent="0.35">
      <c r="A38" s="16" t="str">
        <v>ARJUN KAMLAKAR RAWOOL</v>
      </c>
      <c r="AG38" t="s">
        <v>39</v>
      </c>
    </row>
    <row r="39" spans="1:37" x14ac:dyDescent="0.35">
      <c r="A39" s="16" t="str">
        <v>VINOD ANANT DESHBHANDARI</v>
      </c>
      <c r="B39" t="s">
        <v>39</v>
      </c>
    </row>
    <row r="40" spans="1:37" x14ac:dyDescent="0.35">
      <c r="A40" s="16" t="str">
        <v>SANO G.  VARUGHESE</v>
      </c>
      <c r="S40" t="s">
        <v>39</v>
      </c>
    </row>
    <row r="41" spans="1:37" x14ac:dyDescent="0.35">
      <c r="A41" s="16" t="str">
        <v>BRYAN JOEL D’SOUZA</v>
      </c>
    </row>
    <row r="42" spans="1:37" x14ac:dyDescent="0.35">
      <c r="A42" s="16" t="str">
        <v>RAJ RAVINDRA GAWADE</v>
      </c>
      <c r="S42" t="s">
        <v>39</v>
      </c>
    </row>
    <row r="43" spans="1:37" x14ac:dyDescent="0.35">
      <c r="A43" s="16" t="str">
        <v>PAVAN ASHOK JOSHI</v>
      </c>
    </row>
    <row r="44" spans="1:37" x14ac:dyDescent="0.35">
      <c r="A44" s="16" t="str">
        <v>VISHWANATH NAMDEV KHAPARE</v>
      </c>
      <c r="AK44" t="s">
        <v>321</v>
      </c>
    </row>
    <row r="45" spans="1:37" x14ac:dyDescent="0.35">
      <c r="A45" s="16" t="str">
        <v>AKBAR ADAM BAEKHAN</v>
      </c>
      <c r="Q45" t="s">
        <v>39</v>
      </c>
    </row>
    <row r="46" spans="1:37" x14ac:dyDescent="0.35">
      <c r="A46" s="16" t="str">
        <v>KASHIMSAB NADAF</v>
      </c>
      <c r="C46" t="s">
        <v>39</v>
      </c>
      <c r="G46" t="s">
        <v>316</v>
      </c>
      <c r="H46" t="s">
        <v>39</v>
      </c>
      <c r="O46" t="s">
        <v>39</v>
      </c>
      <c r="P46" t="s">
        <v>39</v>
      </c>
      <c r="Q46" t="s">
        <v>39</v>
      </c>
      <c r="S46" t="s">
        <v>39</v>
      </c>
    </row>
    <row r="47" spans="1:37" x14ac:dyDescent="0.35">
      <c r="A47" s="16" t="str">
        <v xml:space="preserve">BAJRA NATH SINGH   </v>
      </c>
      <c r="J47" t="s">
        <v>39</v>
      </c>
    </row>
    <row r="48" spans="1:37" x14ac:dyDescent="0.35">
      <c r="A48" s="16" t="str">
        <v>MOHAMMED SUHEL SHAIKH</v>
      </c>
      <c r="C48" t="s">
        <v>39</v>
      </c>
    </row>
    <row r="49" spans="1:37" x14ac:dyDescent="0.35">
      <c r="A49" s="16" t="str">
        <v>ARSHAD SHAKIL ATTAR</v>
      </c>
      <c r="F49" t="s">
        <v>39</v>
      </c>
    </row>
    <row r="50" spans="1:37" x14ac:dyDescent="0.35">
      <c r="A50" s="16" t="str">
        <v>POORNANAND PRABHAKAR KANKONKAR</v>
      </c>
      <c r="D50" t="s">
        <v>39</v>
      </c>
    </row>
    <row r="51" spans="1:37" x14ac:dyDescent="0.35">
      <c r="A51" s="16" t="str">
        <v xml:space="preserve">SIDDHARTH FULAGABABU KERKAR </v>
      </c>
      <c r="AI51" t="s">
        <v>39</v>
      </c>
    </row>
    <row r="52" spans="1:37" x14ac:dyDescent="0.35">
      <c r="A52" s="16" t="str">
        <v>RAHUL MAHADEV WAGH</v>
      </c>
    </row>
    <row r="53" spans="1:37" x14ac:dyDescent="0.35">
      <c r="A53" s="16" t="str">
        <v>RAHUL RAJANIKANT PENDURKAR</v>
      </c>
      <c r="AK53" t="s">
        <v>330</v>
      </c>
    </row>
    <row r="54" spans="1:37" x14ac:dyDescent="0.35">
      <c r="A54" s="16" t="str">
        <v xml:space="preserve">VISHAL TODURKAR </v>
      </c>
      <c r="G54" t="s">
        <v>39</v>
      </c>
      <c r="H54" t="s">
        <v>39</v>
      </c>
      <c r="M54" t="s">
        <v>39</v>
      </c>
      <c r="N54" t="s">
        <v>39</v>
      </c>
      <c r="Z54" t="s">
        <v>322</v>
      </c>
    </row>
    <row r="55" spans="1:37" x14ac:dyDescent="0.35">
      <c r="A55" s="16" t="str">
        <v>GIREEDHARE GORAIN</v>
      </c>
      <c r="G55" t="s">
        <v>39</v>
      </c>
      <c r="H55" t="s">
        <v>39</v>
      </c>
    </row>
    <row r="56" spans="1:37" x14ac:dyDescent="0.35">
      <c r="A56" s="16" t="str">
        <v>PRASAD PANDURANG JADHAV</v>
      </c>
      <c r="G56" t="s">
        <v>316</v>
      </c>
    </row>
    <row r="57" spans="1:37" x14ac:dyDescent="0.35">
      <c r="A57" s="16" t="str">
        <v xml:space="preserve">PRATHAMESH SURESH DESAI   </v>
      </c>
    </row>
    <row r="58" spans="1:37" x14ac:dyDescent="0.35">
      <c r="A58" s="16" t="str">
        <v>KHOKAN J SARKAR</v>
      </c>
      <c r="I58" t="s">
        <v>39</v>
      </c>
    </row>
    <row r="59" spans="1:37" x14ac:dyDescent="0.35">
      <c r="A59" s="16" t="str">
        <v xml:space="preserve">RAJNEESH RAMESH HINDE </v>
      </c>
      <c r="S59" t="s">
        <v>39</v>
      </c>
    </row>
    <row r="60" spans="1:37" x14ac:dyDescent="0.35">
      <c r="A60" s="16" t="str">
        <v>TUSHAR TULSIDAS GOVENKAR</v>
      </c>
      <c r="B60" t="s">
        <v>39</v>
      </c>
    </row>
    <row r="61" spans="1:37" x14ac:dyDescent="0.35">
      <c r="A61" s="16" t="str">
        <v>WINSTON FERNANDES</v>
      </c>
      <c r="AI61" t="s">
        <v>39</v>
      </c>
    </row>
    <row r="62" spans="1:37" x14ac:dyDescent="0.35">
      <c r="A62" s="16" t="str">
        <v xml:space="preserve">MOHD KADIR  </v>
      </c>
      <c r="AJ62" t="s">
        <v>39</v>
      </c>
    </row>
    <row r="63" spans="1:37" x14ac:dyDescent="0.35">
      <c r="A63" s="16" t="str">
        <v>RAHUL KUMAR VISHWAKARMA</v>
      </c>
      <c r="J63" t="s">
        <v>39</v>
      </c>
    </row>
    <row r="64" spans="1:37" x14ac:dyDescent="0.35">
      <c r="A64" s="16" t="str">
        <v xml:space="preserve">SANJIV ANANT NAIK </v>
      </c>
      <c r="AG64" t="s">
        <v>39</v>
      </c>
    </row>
    <row r="65" spans="1:29" x14ac:dyDescent="0.35">
      <c r="A65" s="16" t="str">
        <v>SURAJ KAKASO PATIL</v>
      </c>
      <c r="I65" t="s">
        <v>39</v>
      </c>
    </row>
    <row r="66" spans="1:29" x14ac:dyDescent="0.35">
      <c r="A66" s="16" t="str">
        <v>ROHIT KUMAR SHARMA</v>
      </c>
    </row>
    <row r="67" spans="1:29" x14ac:dyDescent="0.35">
      <c r="A67" s="16" t="str">
        <v>MANIK CHAND DAS</v>
      </c>
    </row>
    <row r="68" spans="1:29" x14ac:dyDescent="0.35">
      <c r="A68" s="16" t="str">
        <v xml:space="preserve">GOURESH NAIK  </v>
      </c>
      <c r="Y68" t="s">
        <v>39</v>
      </c>
    </row>
    <row r="69" spans="1:29" x14ac:dyDescent="0.35">
      <c r="A69" s="16" t="str">
        <v>OMKAR RAJU MUDAGAL</v>
      </c>
      <c r="V69" t="s">
        <v>39</v>
      </c>
    </row>
    <row r="70" spans="1:29" x14ac:dyDescent="0.35">
      <c r="A70" s="16" t="str">
        <v>RAMDAS MUKUND PARAB</v>
      </c>
      <c r="U70" t="s">
        <v>39</v>
      </c>
    </row>
    <row r="71" spans="1:29" x14ac:dyDescent="0.35">
      <c r="A71" s="16" t="str">
        <v>DEEPAK ASHOK DESSAI</v>
      </c>
      <c r="Q71" t="s">
        <v>39</v>
      </c>
    </row>
    <row r="72" spans="1:29" x14ac:dyDescent="0.35">
      <c r="A72" s="16" t="str">
        <v xml:space="preserve">SANKET SHYAM HADFADKAR   </v>
      </c>
      <c r="U72" t="s">
        <v>39</v>
      </c>
    </row>
    <row r="73" spans="1:29" x14ac:dyDescent="0.35">
      <c r="A73" s="16" t="str">
        <v>JEEVAN SHARMA</v>
      </c>
      <c r="E73" t="s">
        <v>39</v>
      </c>
    </row>
    <row r="74" spans="1:29" x14ac:dyDescent="0.35">
      <c r="A74" s="16" t="str">
        <v>SANKET SURYAKANNT GAONKAR</v>
      </c>
      <c r="D74" t="s">
        <v>39</v>
      </c>
    </row>
    <row r="75" spans="1:29" x14ac:dyDescent="0.35">
      <c r="A75" s="16" t="str">
        <v>SHAILESH PRABHAKAR MADALI</v>
      </c>
      <c r="Y75" t="s">
        <v>39</v>
      </c>
      <c r="AA75" t="s">
        <v>39</v>
      </c>
      <c r="AC75" t="s">
        <v>39</v>
      </c>
    </row>
    <row r="76" spans="1:29" x14ac:dyDescent="0.35">
      <c r="A76" s="16" t="str">
        <v xml:space="preserve">ROHIT RAJABHAU SARAF </v>
      </c>
      <c r="Y76" t="s">
        <v>39</v>
      </c>
    </row>
    <row r="77" spans="1:29" x14ac:dyDescent="0.35">
      <c r="A77" s="16" t="str">
        <v>SUDHEER D NAIK</v>
      </c>
      <c r="F77" t="s">
        <v>39</v>
      </c>
    </row>
    <row r="78" spans="1:29" x14ac:dyDescent="0.35">
      <c r="A78" s="16" t="str">
        <v>MAHADEV S NAIK</v>
      </c>
      <c r="L78" t="s">
        <v>39</v>
      </c>
    </row>
    <row r="79" spans="1:29" x14ac:dyDescent="0.35">
      <c r="A79" s="16" t="str">
        <v>DATTARAJ ULHAS KAMBLI</v>
      </c>
      <c r="S79" t="s">
        <v>39</v>
      </c>
    </row>
    <row r="80" spans="1:29" x14ac:dyDescent="0.35">
      <c r="A80" s="16" t="str">
        <v>NILKANTH LAXMAN RAWOOL</v>
      </c>
      <c r="W80" t="s">
        <v>39</v>
      </c>
    </row>
    <row r="81" spans="1:35" x14ac:dyDescent="0.35">
      <c r="A81" s="16" t="str">
        <v>GAURESH GANESH GAUNKAR</v>
      </c>
      <c r="Y81" t="s">
        <v>39</v>
      </c>
    </row>
    <row r="82" spans="1:35" x14ac:dyDescent="0.35">
      <c r="A82" s="16" t="str">
        <v>SANJAY CHAUHAN</v>
      </c>
      <c r="D82" t="s">
        <v>39</v>
      </c>
    </row>
    <row r="83" spans="1:35" x14ac:dyDescent="0.35">
      <c r="A83" s="16" t="str">
        <v>RAGHOBHA YASHWANT</v>
      </c>
      <c r="P83" t="s">
        <v>39</v>
      </c>
    </row>
    <row r="84" spans="1:35" x14ac:dyDescent="0.35">
      <c r="A84" s="16" t="str">
        <v>R NARAYAN MURTHY</v>
      </c>
    </row>
    <row r="85" spans="1:35" x14ac:dyDescent="0.35">
      <c r="A85" s="16" t="str">
        <v>BALVINDER SINGH</v>
      </c>
    </row>
    <row r="86" spans="1:35" x14ac:dyDescent="0.35">
      <c r="A86" s="16" t="str">
        <v>SUDIPTA GANGULY</v>
      </c>
    </row>
    <row r="87" spans="1:35" x14ac:dyDescent="0.35">
      <c r="A87" s="16" t="str">
        <v>VIJAY JAMDAR</v>
      </c>
    </row>
    <row r="88" spans="1:35" x14ac:dyDescent="0.35">
      <c r="A88" s="16" t="str">
        <v>AKSHIT AGGARWAL</v>
      </c>
    </row>
    <row r="89" spans="1:35" x14ac:dyDescent="0.35">
      <c r="A89" s="16" t="str">
        <v>BHUPINDER SINGH KASHYAP</v>
      </c>
      <c r="E89" t="s">
        <v>39</v>
      </c>
    </row>
    <row r="90" spans="1:35" x14ac:dyDescent="0.35">
      <c r="A90" s="16" t="str">
        <v>AMOL SUBODH JAMBHALE</v>
      </c>
      <c r="G90" t="s">
        <v>39</v>
      </c>
      <c r="H90" t="s">
        <v>39</v>
      </c>
    </row>
    <row r="91" spans="1:35" x14ac:dyDescent="0.35">
      <c r="A91" s="16" t="str">
        <v>NANDKUMAR PRAKASH PATIL</v>
      </c>
      <c r="S91" t="s">
        <v>39</v>
      </c>
    </row>
    <row r="92" spans="1:35" x14ac:dyDescent="0.35">
      <c r="A92" s="16" t="str">
        <v>PRAKASH GANAGER</v>
      </c>
      <c r="AD92" t="s">
        <v>39</v>
      </c>
    </row>
    <row r="93" spans="1:35" x14ac:dyDescent="0.35">
      <c r="A93" s="16" t="str">
        <v xml:space="preserve">SAHEEL MAULINGKAR   </v>
      </c>
      <c r="AI93" t="s">
        <v>39</v>
      </c>
    </row>
    <row r="94" spans="1:35" x14ac:dyDescent="0.35">
      <c r="A94" s="16" t="str">
        <v>DINESH RAMCHANDRA SHETYE</v>
      </c>
      <c r="B94" t="s">
        <v>39</v>
      </c>
      <c r="F94" t="s">
        <v>39</v>
      </c>
      <c r="P94" t="s">
        <v>39</v>
      </c>
      <c r="AI94" t="s">
        <v>39</v>
      </c>
    </row>
    <row r="95" spans="1:35" x14ac:dyDescent="0.35">
      <c r="A95" s="16" t="str">
        <v>R. PAPUN PRADHAN</v>
      </c>
      <c r="I95" t="s">
        <v>39</v>
      </c>
    </row>
    <row r="96" spans="1:35" x14ac:dyDescent="0.35">
      <c r="A96" s="16" t="str">
        <v>DILEEP HONNAPPA TANDEL</v>
      </c>
      <c r="M96" t="s">
        <v>39</v>
      </c>
    </row>
    <row r="97" spans="1:30" x14ac:dyDescent="0.35">
      <c r="A97" s="16" t="str">
        <v>NAGARAJ JAIWANT CHIPKAR</v>
      </c>
      <c r="M97" t="s">
        <v>39</v>
      </c>
    </row>
    <row r="98" spans="1:30" x14ac:dyDescent="0.35">
      <c r="A98" s="16" t="str">
        <v>ANAND GAWADE</v>
      </c>
      <c r="K98" t="s">
        <v>39</v>
      </c>
    </row>
    <row r="99" spans="1:30" x14ac:dyDescent="0.35">
      <c r="A99" s="16" t="str">
        <v>KAILASH BHUPENDRA UGREJ</v>
      </c>
      <c r="O99" t="s">
        <v>39</v>
      </c>
    </row>
    <row r="100" spans="1:30" x14ac:dyDescent="0.35">
      <c r="A100" s="16" t="str">
        <v>NIKHIL TULSHIDAS PATKAR</v>
      </c>
      <c r="P100" t="s">
        <v>39</v>
      </c>
    </row>
    <row r="101" spans="1:30" x14ac:dyDescent="0.35">
      <c r="A101" s="16" t="str">
        <v>PAPPU KUMAR MANDAL</v>
      </c>
      <c r="I101" t="s">
        <v>39</v>
      </c>
    </row>
    <row r="102" spans="1:30" x14ac:dyDescent="0.35">
      <c r="A102" s="16" t="str">
        <v>SACHIN S NAIK</v>
      </c>
      <c r="I102" t="s">
        <v>39</v>
      </c>
    </row>
    <row r="103" spans="1:30" x14ac:dyDescent="0.35">
      <c r="A103" s="16" t="str">
        <v>VINAYAK NAIK</v>
      </c>
      <c r="H103" t="s">
        <v>39</v>
      </c>
    </row>
    <row r="104" spans="1:30" x14ac:dyDescent="0.35">
      <c r="A104" s="16" t="str">
        <v>SAMEER SHANTARAM NAIK</v>
      </c>
    </row>
    <row r="105" spans="1:30" x14ac:dyDescent="0.35">
      <c r="A105" s="16" t="str">
        <v>SUDHIR DATTARAM ASOLKAR</v>
      </c>
      <c r="I105" t="s">
        <v>39</v>
      </c>
    </row>
    <row r="106" spans="1:30" x14ac:dyDescent="0.35">
      <c r="A106" s="16" t="str">
        <v>BHIVA LAXMAN CHAVAN</v>
      </c>
      <c r="AD106" t="s">
        <v>39</v>
      </c>
    </row>
  </sheetData>
  <autoFilter ref="A1:AK106" xr:uid="{12EDD9DA-7AFF-4BBA-9B97-5875EB8E0279}"/>
  <conditionalFormatting sqref="A1:A1048576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E5139-3EE2-4A47-BFAD-35F3E34CC9D5}">
  <dimension ref="A2:E40"/>
  <sheetViews>
    <sheetView workbookViewId="0">
      <selection activeCell="B17" sqref="B17"/>
    </sheetView>
  </sheetViews>
  <sheetFormatPr defaultColWidth="8.7265625" defaultRowHeight="14.5" x14ac:dyDescent="0.35"/>
  <cols>
    <col min="1" max="1" width="22.1796875" style="3" bestFit="1" customWidth="1"/>
    <col min="2" max="2" width="20.7265625" style="3" bestFit="1" customWidth="1"/>
    <col min="3" max="3" width="19.7265625" style="3" bestFit="1" customWidth="1"/>
    <col min="4" max="4" width="18.7265625" style="3" bestFit="1" customWidth="1"/>
    <col min="5" max="5" width="22" style="3" bestFit="1" customWidth="1"/>
    <col min="6" max="16384" width="8.7265625" style="3"/>
  </cols>
  <sheetData>
    <row r="2" spans="1:5" ht="15" thickBot="1" x14ac:dyDescent="0.4">
      <c r="A2" s="16"/>
      <c r="B2" s="16"/>
      <c r="C2" s="16"/>
      <c r="D2" s="16"/>
      <c r="E2" s="16"/>
    </row>
    <row r="3" spans="1:5" x14ac:dyDescent="0.35">
      <c r="A3" s="37" t="s">
        <v>137</v>
      </c>
      <c r="B3" s="12" t="s">
        <v>138</v>
      </c>
      <c r="C3" s="12" t="s">
        <v>139</v>
      </c>
      <c r="D3" s="12" t="s">
        <v>140</v>
      </c>
      <c r="E3" s="12" t="s">
        <v>141</v>
      </c>
    </row>
    <row r="4" spans="1:5" x14ac:dyDescent="0.35">
      <c r="A4" s="38" t="s">
        <v>1</v>
      </c>
      <c r="B4" s="16"/>
      <c r="C4" s="16"/>
      <c r="D4" s="16"/>
      <c r="E4" s="16"/>
    </row>
    <row r="5" spans="1:5" x14ac:dyDescent="0.35">
      <c r="A5" s="19" t="s">
        <v>2</v>
      </c>
      <c r="B5" s="14">
        <v>44936</v>
      </c>
      <c r="C5" s="14">
        <v>46022</v>
      </c>
      <c r="D5" s="14">
        <v>44936</v>
      </c>
      <c r="E5" s="14">
        <v>46356</v>
      </c>
    </row>
    <row r="6" spans="1:5" x14ac:dyDescent="0.35">
      <c r="A6" s="19" t="s">
        <v>3</v>
      </c>
      <c r="B6" s="14">
        <v>45170</v>
      </c>
      <c r="C6" s="14">
        <v>46371</v>
      </c>
      <c r="D6" s="14">
        <v>45170</v>
      </c>
      <c r="E6" s="14">
        <v>46537</v>
      </c>
    </row>
    <row r="7" spans="1:5" x14ac:dyDescent="0.35">
      <c r="A7" s="38" t="s">
        <v>4</v>
      </c>
      <c r="B7" s="16"/>
      <c r="C7" s="16"/>
      <c r="D7" s="16"/>
      <c r="E7" s="16"/>
    </row>
    <row r="8" spans="1:5" x14ac:dyDescent="0.35">
      <c r="A8" s="19" t="s">
        <v>5</v>
      </c>
      <c r="B8" s="14">
        <v>45540</v>
      </c>
      <c r="C8" s="14">
        <v>46472</v>
      </c>
      <c r="D8" s="14">
        <v>45540</v>
      </c>
      <c r="E8" s="14">
        <v>46534</v>
      </c>
    </row>
    <row r="9" spans="1:5" x14ac:dyDescent="0.35">
      <c r="A9" s="19" t="s">
        <v>6</v>
      </c>
      <c r="B9" s="14">
        <v>45171</v>
      </c>
      <c r="C9" s="14">
        <v>46020</v>
      </c>
      <c r="D9" s="14">
        <v>45171</v>
      </c>
      <c r="E9" s="14">
        <v>46190</v>
      </c>
    </row>
    <row r="10" spans="1:5" x14ac:dyDescent="0.35">
      <c r="A10" s="19" t="s">
        <v>7</v>
      </c>
      <c r="B10" s="14">
        <v>45051</v>
      </c>
      <c r="C10" s="14">
        <v>46022</v>
      </c>
      <c r="D10" s="14">
        <v>45051</v>
      </c>
      <c r="E10" s="14">
        <v>46134</v>
      </c>
    </row>
    <row r="11" spans="1:5" x14ac:dyDescent="0.35">
      <c r="A11" s="19" t="s">
        <v>8</v>
      </c>
      <c r="B11" s="14">
        <v>44953</v>
      </c>
      <c r="C11" s="14">
        <v>46101</v>
      </c>
      <c r="D11" s="14">
        <v>44953</v>
      </c>
      <c r="E11" s="14">
        <v>46107</v>
      </c>
    </row>
    <row r="12" spans="1:5" x14ac:dyDescent="0.35">
      <c r="A12" s="19" t="s">
        <v>9</v>
      </c>
      <c r="B12" s="14">
        <v>44967</v>
      </c>
      <c r="C12" s="14">
        <v>46112</v>
      </c>
      <c r="D12" s="14">
        <v>44967</v>
      </c>
      <c r="E12" s="14">
        <v>46228</v>
      </c>
    </row>
    <row r="13" spans="1:5" x14ac:dyDescent="0.35">
      <c r="A13" s="19" t="s">
        <v>10</v>
      </c>
      <c r="B13" s="14">
        <v>45673</v>
      </c>
      <c r="C13" s="14">
        <v>46538</v>
      </c>
      <c r="D13" s="14">
        <v>45660</v>
      </c>
      <c r="E13" s="14">
        <v>46568</v>
      </c>
    </row>
    <row r="14" spans="1:5" x14ac:dyDescent="0.35">
      <c r="A14" s="19" t="s">
        <v>11</v>
      </c>
      <c r="B14" s="14">
        <v>44946</v>
      </c>
      <c r="C14" s="14">
        <v>46041</v>
      </c>
      <c r="D14" s="14">
        <v>44946</v>
      </c>
      <c r="E14" s="14">
        <v>46150</v>
      </c>
    </row>
    <row r="15" spans="1:5" x14ac:dyDescent="0.35">
      <c r="A15" s="19" t="s">
        <v>12</v>
      </c>
      <c r="B15" s="14">
        <v>45306</v>
      </c>
      <c r="C15" s="14">
        <v>46192</v>
      </c>
      <c r="D15" s="14">
        <v>45306</v>
      </c>
      <c r="E15" s="14">
        <v>46234</v>
      </c>
    </row>
    <row r="16" spans="1:5" x14ac:dyDescent="0.35">
      <c r="A16" s="19" t="s">
        <v>13</v>
      </c>
      <c r="B16" s="14">
        <v>45306</v>
      </c>
      <c r="C16" s="14">
        <v>46172</v>
      </c>
      <c r="D16" s="14">
        <v>45306</v>
      </c>
      <c r="E16" s="14">
        <v>46223</v>
      </c>
    </row>
    <row r="17" spans="1:5" x14ac:dyDescent="0.35">
      <c r="A17" s="19" t="s">
        <v>14</v>
      </c>
      <c r="B17" s="14">
        <v>45297</v>
      </c>
      <c r="C17" s="14">
        <v>46177</v>
      </c>
      <c r="D17" s="14">
        <v>45294</v>
      </c>
      <c r="E17" s="14">
        <v>46373</v>
      </c>
    </row>
    <row r="18" spans="1:5" x14ac:dyDescent="0.35">
      <c r="A18" s="19" t="s">
        <v>15</v>
      </c>
      <c r="B18" s="14">
        <v>45292</v>
      </c>
      <c r="C18" s="14">
        <v>46186</v>
      </c>
      <c r="D18" s="14">
        <v>45292</v>
      </c>
      <c r="E18" s="14">
        <v>46270</v>
      </c>
    </row>
    <row r="19" spans="1:5" x14ac:dyDescent="0.35">
      <c r="A19" s="19" t="s">
        <v>16</v>
      </c>
      <c r="B19" s="14">
        <v>45580</v>
      </c>
      <c r="C19" s="14">
        <v>46377</v>
      </c>
      <c r="D19" s="14">
        <v>45580</v>
      </c>
      <c r="E19" s="14">
        <v>46359</v>
      </c>
    </row>
    <row r="20" spans="1:5" x14ac:dyDescent="0.35">
      <c r="A20" s="19" t="s">
        <v>17</v>
      </c>
      <c r="B20" s="14">
        <v>44951</v>
      </c>
      <c r="C20" s="14">
        <v>45991</v>
      </c>
      <c r="D20" s="14">
        <v>44951</v>
      </c>
      <c r="E20" s="14">
        <v>45991</v>
      </c>
    </row>
    <row r="21" spans="1:5" x14ac:dyDescent="0.35">
      <c r="A21" s="19" t="s">
        <v>18</v>
      </c>
      <c r="B21" s="14">
        <v>45231</v>
      </c>
      <c r="C21" s="14">
        <v>46163</v>
      </c>
      <c r="D21" s="14">
        <v>45231</v>
      </c>
      <c r="E21" s="14">
        <v>46217</v>
      </c>
    </row>
    <row r="22" spans="1:5" x14ac:dyDescent="0.35">
      <c r="A22" s="19" t="s">
        <v>19</v>
      </c>
      <c r="B22" s="14">
        <v>45394</v>
      </c>
      <c r="C22" s="14">
        <v>46328</v>
      </c>
      <c r="D22" s="14">
        <v>45392</v>
      </c>
      <c r="E22" s="14">
        <v>46455</v>
      </c>
    </row>
    <row r="23" spans="1:5" x14ac:dyDescent="0.35">
      <c r="A23" s="19" t="s">
        <v>20</v>
      </c>
      <c r="B23" s="14">
        <v>45443</v>
      </c>
      <c r="C23" s="14">
        <v>46402</v>
      </c>
      <c r="D23" s="14">
        <v>45443</v>
      </c>
      <c r="E23" s="14">
        <v>46539</v>
      </c>
    </row>
    <row r="24" spans="1:5" x14ac:dyDescent="0.35">
      <c r="A24" s="19" t="s">
        <v>21</v>
      </c>
      <c r="B24" s="14">
        <v>45717</v>
      </c>
      <c r="C24" s="14">
        <v>46752</v>
      </c>
      <c r="D24" s="14">
        <v>45724</v>
      </c>
      <c r="E24" s="14">
        <v>46765</v>
      </c>
    </row>
    <row r="25" spans="1:5" x14ac:dyDescent="0.35">
      <c r="A25" s="19" t="s">
        <v>22</v>
      </c>
      <c r="B25" s="14">
        <v>44991</v>
      </c>
      <c r="C25" s="14">
        <v>46086</v>
      </c>
      <c r="D25" s="14">
        <v>44991</v>
      </c>
      <c r="E25" s="14">
        <v>46183</v>
      </c>
    </row>
    <row r="26" spans="1:5" x14ac:dyDescent="0.35">
      <c r="A26" s="19" t="s">
        <v>23</v>
      </c>
      <c r="B26" s="14">
        <v>44849</v>
      </c>
      <c r="C26" s="14">
        <v>45991</v>
      </c>
      <c r="D26" s="14">
        <v>44849</v>
      </c>
      <c r="E26" s="14">
        <v>45991</v>
      </c>
    </row>
    <row r="27" spans="1:5" x14ac:dyDescent="0.35">
      <c r="A27" s="38" t="s">
        <v>24</v>
      </c>
      <c r="B27" s="16"/>
      <c r="C27" s="16"/>
      <c r="D27" s="16"/>
      <c r="E27" s="16"/>
    </row>
    <row r="28" spans="1:5" x14ac:dyDescent="0.35">
      <c r="A28" s="38" t="s">
        <v>25</v>
      </c>
      <c r="B28" s="16"/>
      <c r="C28" s="16"/>
      <c r="D28" s="16"/>
      <c r="E28" s="16"/>
    </row>
    <row r="29" spans="1:5" x14ac:dyDescent="0.35">
      <c r="A29" s="38" t="s">
        <v>26</v>
      </c>
      <c r="B29" s="16"/>
      <c r="C29" s="16"/>
      <c r="D29" s="16"/>
      <c r="E29" s="16"/>
    </row>
    <row r="30" spans="1:5" x14ac:dyDescent="0.35">
      <c r="A30" s="38" t="s">
        <v>27</v>
      </c>
      <c r="B30" s="16"/>
      <c r="C30" s="16"/>
      <c r="D30" s="16"/>
      <c r="E30" s="16"/>
    </row>
    <row r="31" spans="1:5" x14ac:dyDescent="0.35">
      <c r="A31" s="38" t="s">
        <v>28</v>
      </c>
      <c r="B31" s="16"/>
      <c r="C31" s="16"/>
      <c r="D31" s="16"/>
      <c r="E31" s="16"/>
    </row>
    <row r="32" spans="1:5" x14ac:dyDescent="0.35">
      <c r="A32" s="38" t="s">
        <v>29</v>
      </c>
      <c r="B32" s="16"/>
      <c r="C32" s="16"/>
      <c r="D32" s="16"/>
      <c r="E32" s="16"/>
    </row>
    <row r="33" spans="1:5" x14ac:dyDescent="0.35">
      <c r="A33" s="19" t="s">
        <v>30</v>
      </c>
      <c r="B33" s="14">
        <v>45780</v>
      </c>
      <c r="C33" s="14">
        <v>46538</v>
      </c>
      <c r="D33" s="14">
        <v>45780</v>
      </c>
      <c r="E33" s="14">
        <v>46752</v>
      </c>
    </row>
    <row r="34" spans="1:5" x14ac:dyDescent="0.35">
      <c r="A34" s="19" t="s">
        <v>31</v>
      </c>
      <c r="B34" s="14">
        <v>45733</v>
      </c>
      <c r="C34" s="14">
        <v>46538</v>
      </c>
      <c r="D34" s="14">
        <v>45733</v>
      </c>
      <c r="E34" s="14">
        <v>46569</v>
      </c>
    </row>
    <row r="35" spans="1:5" x14ac:dyDescent="0.35">
      <c r="A35" s="19" t="s">
        <v>32</v>
      </c>
      <c r="B35" s="14">
        <v>44849</v>
      </c>
      <c r="C35" s="14">
        <v>45991</v>
      </c>
      <c r="D35" s="14">
        <v>44849</v>
      </c>
      <c r="E35" s="14">
        <v>45991</v>
      </c>
    </row>
    <row r="36" spans="1:5" x14ac:dyDescent="0.35">
      <c r="A36" s="19" t="s">
        <v>33</v>
      </c>
      <c r="B36" s="14">
        <v>44849</v>
      </c>
      <c r="C36" s="14">
        <v>45991</v>
      </c>
      <c r="D36" s="14">
        <v>44954</v>
      </c>
      <c r="E36" s="14">
        <v>45991</v>
      </c>
    </row>
    <row r="37" spans="1:5" x14ac:dyDescent="0.35">
      <c r="A37" s="19" t="s">
        <v>34</v>
      </c>
      <c r="B37" s="14">
        <v>44849</v>
      </c>
      <c r="C37" s="14">
        <v>45991</v>
      </c>
      <c r="D37" s="14">
        <v>44886</v>
      </c>
      <c r="E37" s="14">
        <v>45991</v>
      </c>
    </row>
    <row r="38" spans="1:5" x14ac:dyDescent="0.35">
      <c r="A38" s="19" t="s">
        <v>35</v>
      </c>
      <c r="B38" s="14">
        <v>45010</v>
      </c>
      <c r="C38" s="14">
        <v>45990</v>
      </c>
      <c r="D38" s="14">
        <v>45010</v>
      </c>
      <c r="E38" s="14">
        <v>46029</v>
      </c>
    </row>
    <row r="39" spans="1:5" x14ac:dyDescent="0.35">
      <c r="A39" s="19" t="s">
        <v>142</v>
      </c>
      <c r="B39" s="16"/>
      <c r="C39" s="16"/>
      <c r="D39" s="16"/>
      <c r="E39" s="16"/>
    </row>
    <row r="40" spans="1:5" x14ac:dyDescent="0.35">
      <c r="A40" s="19" t="s">
        <v>143</v>
      </c>
      <c r="B40" s="16"/>
      <c r="C40" s="16"/>
      <c r="D40" s="16"/>
      <c r="E40" s="16"/>
    </row>
  </sheetData>
  <autoFilter ref="A3:E40" xr:uid="{2A0E5139-3EE2-4A47-BFAD-35F3E34CC9D5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54A49-F86E-464C-A749-7248F45B333B}">
  <dimension ref="A1:H154"/>
  <sheetViews>
    <sheetView workbookViewId="0">
      <selection activeCell="F7" sqref="F7"/>
    </sheetView>
  </sheetViews>
  <sheetFormatPr defaultColWidth="8.7265625" defaultRowHeight="14.5" x14ac:dyDescent="0.35"/>
  <cols>
    <col min="1" max="1" width="22.1796875" style="3" bestFit="1" customWidth="1"/>
    <col min="2" max="2" width="40" style="3" bestFit="1" customWidth="1"/>
    <col min="3" max="3" width="22.1796875" style="3" customWidth="1"/>
    <col min="4" max="4" width="6.81640625" style="5" bestFit="1" customWidth="1"/>
    <col min="5" max="5" width="25" style="3" bestFit="1" customWidth="1"/>
    <col min="6" max="6" width="8.7265625" style="3"/>
    <col min="7" max="7" width="8.7265625" style="3" bestFit="1" customWidth="1"/>
    <col min="8" max="8" width="10.1796875" style="3" bestFit="1" customWidth="1"/>
    <col min="9" max="16384" width="8.7265625" style="3"/>
  </cols>
  <sheetData>
    <row r="1" spans="1:8" x14ac:dyDescent="0.35">
      <c r="A1" s="1" t="s">
        <v>131</v>
      </c>
      <c r="B1" s="1" t="s">
        <v>132</v>
      </c>
      <c r="C1" s="1" t="s">
        <v>144</v>
      </c>
      <c r="D1" s="2" t="s">
        <v>133</v>
      </c>
      <c r="E1" s="13" t="s">
        <v>145</v>
      </c>
      <c r="F1" s="13" t="s">
        <v>146</v>
      </c>
      <c r="G1" s="6" t="s">
        <v>147</v>
      </c>
      <c r="H1" s="16" t="s">
        <v>148</v>
      </c>
    </row>
    <row r="2" spans="1:8" x14ac:dyDescent="0.35">
      <c r="A2" s="16" t="s">
        <v>13</v>
      </c>
      <c r="B2" s="16" t="s">
        <v>38</v>
      </c>
      <c r="C2" s="16" t="s">
        <v>149</v>
      </c>
      <c r="D2" s="18">
        <v>0.25</v>
      </c>
      <c r="E2" s="16" t="s">
        <v>150</v>
      </c>
      <c r="F2" s="17" t="s">
        <v>151</v>
      </c>
      <c r="G2" s="16" t="s">
        <v>0</v>
      </c>
      <c r="H2" s="25">
        <v>45945</v>
      </c>
    </row>
    <row r="3" spans="1:8" x14ac:dyDescent="0.35">
      <c r="A3" s="16" t="str">
        <f>A2</f>
        <v>La Estella I</v>
      </c>
      <c r="B3" s="16" t="s">
        <v>40</v>
      </c>
      <c r="C3" s="16" t="s">
        <v>152</v>
      </c>
      <c r="D3" s="18">
        <v>0.25</v>
      </c>
      <c r="E3" s="10" t="s">
        <v>150</v>
      </c>
      <c r="F3" s="17" t="s">
        <v>151</v>
      </c>
      <c r="G3" s="16" t="s">
        <v>0</v>
      </c>
      <c r="H3" s="25">
        <v>45945</v>
      </c>
    </row>
    <row r="4" spans="1:8" x14ac:dyDescent="0.35">
      <c r="A4" s="16" t="str">
        <f>A3</f>
        <v>La Estella I</v>
      </c>
      <c r="B4" s="16" t="s">
        <v>41</v>
      </c>
      <c r="C4" s="16" t="s">
        <v>153</v>
      </c>
      <c r="D4" s="18">
        <v>1</v>
      </c>
      <c r="E4" s="16"/>
      <c r="F4" s="17"/>
      <c r="G4" s="16" t="s">
        <v>0</v>
      </c>
      <c r="H4" s="25">
        <v>45945</v>
      </c>
    </row>
    <row r="5" spans="1:8" x14ac:dyDescent="0.35">
      <c r="A5" s="16" t="str">
        <f>A4</f>
        <v>La Estella I</v>
      </c>
      <c r="B5" s="16" t="s">
        <v>42</v>
      </c>
      <c r="C5" s="16" t="s">
        <v>154</v>
      </c>
      <c r="D5" s="18">
        <v>0.5</v>
      </c>
      <c r="E5" s="16"/>
      <c r="F5" s="17"/>
      <c r="G5" s="16" t="s">
        <v>0</v>
      </c>
      <c r="H5" s="25">
        <v>45945</v>
      </c>
    </row>
    <row r="6" spans="1:8" x14ac:dyDescent="0.35">
      <c r="A6" s="16" t="str">
        <f>A5</f>
        <v>La Estella I</v>
      </c>
      <c r="B6" s="19" t="s">
        <v>43</v>
      </c>
      <c r="C6" s="16" t="s">
        <v>155</v>
      </c>
      <c r="D6" s="18">
        <v>0.25</v>
      </c>
      <c r="E6" s="19" t="s">
        <v>43</v>
      </c>
      <c r="F6" s="17" t="s">
        <v>151</v>
      </c>
      <c r="G6" s="16" t="s">
        <v>0</v>
      </c>
      <c r="H6" s="25">
        <v>45945</v>
      </c>
    </row>
    <row r="7" spans="1:8" x14ac:dyDescent="0.35">
      <c r="A7" s="16" t="str">
        <f>A5</f>
        <v>La Estella I</v>
      </c>
      <c r="B7" s="16" t="s">
        <v>44</v>
      </c>
      <c r="C7" s="16" t="s">
        <v>156</v>
      </c>
      <c r="D7" s="18">
        <v>1</v>
      </c>
      <c r="E7" s="10" t="s">
        <v>150</v>
      </c>
      <c r="F7" s="17" t="s">
        <v>151</v>
      </c>
      <c r="G7" s="16" t="s">
        <v>0</v>
      </c>
      <c r="H7" s="25">
        <v>45945</v>
      </c>
    </row>
    <row r="8" spans="1:8" x14ac:dyDescent="0.35">
      <c r="A8" s="16" t="s">
        <v>157</v>
      </c>
      <c r="B8" s="16" t="s">
        <v>38</v>
      </c>
      <c r="C8" s="16" t="s">
        <v>149</v>
      </c>
      <c r="D8" s="18">
        <v>0.25</v>
      </c>
      <c r="E8" s="16" t="s">
        <v>150</v>
      </c>
      <c r="F8" s="17" t="s">
        <v>151</v>
      </c>
      <c r="G8" s="16" t="s">
        <v>0</v>
      </c>
      <c r="H8" s="25">
        <v>45945</v>
      </c>
    </row>
    <row r="9" spans="1:8" x14ac:dyDescent="0.35">
      <c r="A9" s="16" t="str">
        <f>A8</f>
        <v>La Caleta-B</v>
      </c>
      <c r="B9" s="16" t="s">
        <v>45</v>
      </c>
      <c r="C9" s="16" t="s">
        <v>158</v>
      </c>
      <c r="D9" s="18">
        <v>1</v>
      </c>
      <c r="E9" s="16" t="s">
        <v>150</v>
      </c>
      <c r="F9" s="17" t="s">
        <v>151</v>
      </c>
      <c r="G9" s="16" t="s">
        <v>0</v>
      </c>
      <c r="H9" s="25">
        <v>45945</v>
      </c>
    </row>
    <row r="10" spans="1:8" x14ac:dyDescent="0.35">
      <c r="A10" s="16" t="str">
        <f>A9</f>
        <v>La Caleta-B</v>
      </c>
      <c r="B10" s="16" t="s">
        <v>40</v>
      </c>
      <c r="C10" s="16" t="s">
        <v>152</v>
      </c>
      <c r="D10" s="18">
        <v>0.25</v>
      </c>
      <c r="E10" s="10" t="s">
        <v>150</v>
      </c>
      <c r="F10" s="17" t="s">
        <v>151</v>
      </c>
      <c r="G10" s="16" t="s">
        <v>0</v>
      </c>
      <c r="H10" s="25">
        <v>45945</v>
      </c>
    </row>
    <row r="11" spans="1:8" x14ac:dyDescent="0.35">
      <c r="A11" s="16" t="str">
        <f>A10</f>
        <v>La Caleta-B</v>
      </c>
      <c r="B11" s="16" t="s">
        <v>46</v>
      </c>
      <c r="C11" s="16" t="s">
        <v>159</v>
      </c>
      <c r="D11" s="18">
        <v>1</v>
      </c>
      <c r="E11" s="16" t="s">
        <v>150</v>
      </c>
      <c r="F11" s="17" t="s">
        <v>151</v>
      </c>
      <c r="G11" s="16" t="s">
        <v>0</v>
      </c>
      <c r="H11" s="25">
        <v>45945</v>
      </c>
    </row>
    <row r="12" spans="1:8" x14ac:dyDescent="0.35">
      <c r="A12" s="16" t="str">
        <f>A11</f>
        <v>La Caleta-B</v>
      </c>
      <c r="B12" s="16" t="s">
        <v>43</v>
      </c>
      <c r="C12" s="16" t="s">
        <v>155</v>
      </c>
      <c r="D12" s="18">
        <v>0.25</v>
      </c>
      <c r="E12" s="16" t="s">
        <v>150</v>
      </c>
      <c r="F12" s="17" t="s">
        <v>151</v>
      </c>
      <c r="G12" s="16" t="s">
        <v>0</v>
      </c>
      <c r="H12" s="25">
        <v>45945</v>
      </c>
    </row>
    <row r="13" spans="1:8" x14ac:dyDescent="0.35">
      <c r="A13" s="16" t="s">
        <v>8</v>
      </c>
      <c r="B13" s="16" t="s">
        <v>47</v>
      </c>
      <c r="C13" s="16" t="s">
        <v>160</v>
      </c>
      <c r="D13" s="18">
        <v>1</v>
      </c>
      <c r="E13" s="16" t="s">
        <v>51</v>
      </c>
      <c r="F13" s="17" t="s">
        <v>151</v>
      </c>
      <c r="G13" s="16" t="s">
        <v>0</v>
      </c>
      <c r="H13" s="25">
        <v>45945</v>
      </c>
    </row>
    <row r="14" spans="1:8" x14ac:dyDescent="0.35">
      <c r="A14" s="16" t="str">
        <f t="shared" ref="A14:A19" si="0">A13</f>
        <v>La Cascada</v>
      </c>
      <c r="B14" s="16" t="s">
        <v>48</v>
      </c>
      <c r="C14" s="16" t="s">
        <v>161</v>
      </c>
      <c r="D14" s="18">
        <v>1</v>
      </c>
      <c r="E14" s="16" t="s">
        <v>162</v>
      </c>
      <c r="F14" s="17" t="s">
        <v>151</v>
      </c>
      <c r="G14" s="16" t="s">
        <v>0</v>
      </c>
      <c r="H14" s="25">
        <v>45945</v>
      </c>
    </row>
    <row r="15" spans="1:8" x14ac:dyDescent="0.35">
      <c r="A15" s="16" t="str">
        <f t="shared" si="0"/>
        <v>La Cascada</v>
      </c>
      <c r="B15" s="16" t="s">
        <v>49</v>
      </c>
      <c r="C15" s="16" t="s">
        <v>163</v>
      </c>
      <c r="D15" s="18">
        <v>1</v>
      </c>
      <c r="E15" s="16" t="s">
        <v>162</v>
      </c>
      <c r="F15" s="17" t="s">
        <v>151</v>
      </c>
      <c r="G15" s="16" t="s">
        <v>0</v>
      </c>
      <c r="H15" s="25">
        <v>45945</v>
      </c>
    </row>
    <row r="16" spans="1:8" x14ac:dyDescent="0.35">
      <c r="A16" s="16" t="str">
        <f t="shared" si="0"/>
        <v>La Cascada</v>
      </c>
      <c r="B16" s="16" t="s">
        <v>50</v>
      </c>
      <c r="C16" s="16" t="s">
        <v>164</v>
      </c>
      <c r="D16" s="18">
        <v>1</v>
      </c>
      <c r="E16" s="16" t="s">
        <v>162</v>
      </c>
      <c r="F16" s="17" t="s">
        <v>151</v>
      </c>
      <c r="G16" s="16" t="s">
        <v>0</v>
      </c>
      <c r="H16" s="25">
        <v>45945</v>
      </c>
    </row>
    <row r="17" spans="1:8" x14ac:dyDescent="0.35">
      <c r="A17" s="16" t="str">
        <f t="shared" si="0"/>
        <v>La Cascada</v>
      </c>
      <c r="B17" s="16" t="s">
        <v>51</v>
      </c>
      <c r="C17" s="16" t="s">
        <v>165</v>
      </c>
      <c r="D17" s="18">
        <v>0.25</v>
      </c>
      <c r="E17" s="16" t="s">
        <v>162</v>
      </c>
      <c r="F17" s="17" t="s">
        <v>151</v>
      </c>
      <c r="G17" s="16" t="s">
        <v>0</v>
      </c>
      <c r="H17" s="25">
        <v>45945</v>
      </c>
    </row>
    <row r="18" spans="1:8" x14ac:dyDescent="0.35">
      <c r="A18" s="16" t="str">
        <f t="shared" si="0"/>
        <v>La Cascada</v>
      </c>
      <c r="B18" s="16" t="s">
        <v>52</v>
      </c>
      <c r="C18" s="16" t="s">
        <v>166</v>
      </c>
      <c r="D18" s="18">
        <v>1</v>
      </c>
      <c r="E18" s="10" t="s">
        <v>51</v>
      </c>
      <c r="F18" s="17" t="s">
        <v>151</v>
      </c>
      <c r="G18" s="16" t="s">
        <v>0</v>
      </c>
      <c r="H18" s="25">
        <v>45945</v>
      </c>
    </row>
    <row r="19" spans="1:8" x14ac:dyDescent="0.35">
      <c r="A19" s="16" t="str">
        <f t="shared" si="0"/>
        <v>La Cascada</v>
      </c>
      <c r="B19" s="16" t="s">
        <v>53</v>
      </c>
      <c r="C19" s="16" t="s">
        <v>167</v>
      </c>
      <c r="D19" s="18">
        <v>1</v>
      </c>
      <c r="E19" s="16" t="s">
        <v>51</v>
      </c>
      <c r="F19" s="17" t="s">
        <v>151</v>
      </c>
      <c r="G19" s="16" t="s">
        <v>0</v>
      </c>
      <c r="H19" s="25">
        <v>45945</v>
      </c>
    </row>
    <row r="20" spans="1:8" x14ac:dyDescent="0.35">
      <c r="A20" s="16" t="s">
        <v>9</v>
      </c>
      <c r="B20" s="16" t="s">
        <v>54</v>
      </c>
      <c r="C20" s="16" t="s">
        <v>168</v>
      </c>
      <c r="D20" s="18">
        <v>1</v>
      </c>
      <c r="E20" s="16" t="s">
        <v>51</v>
      </c>
      <c r="F20" s="17" t="s">
        <v>151</v>
      </c>
      <c r="G20" s="16" t="s">
        <v>0</v>
      </c>
      <c r="H20" s="25">
        <v>45945</v>
      </c>
    </row>
    <row r="21" spans="1:8" x14ac:dyDescent="0.35">
      <c r="A21" s="16" t="str">
        <f>A20</f>
        <v>La Cassinella</v>
      </c>
      <c r="B21" s="16" t="s">
        <v>55</v>
      </c>
      <c r="C21" s="16" t="s">
        <v>169</v>
      </c>
      <c r="D21" s="18">
        <v>1</v>
      </c>
      <c r="E21" s="16" t="s">
        <v>51</v>
      </c>
      <c r="F21" s="17" t="s">
        <v>151</v>
      </c>
      <c r="G21" s="16" t="s">
        <v>0</v>
      </c>
      <c r="H21" s="25">
        <v>45945</v>
      </c>
    </row>
    <row r="22" spans="1:8" x14ac:dyDescent="0.35">
      <c r="A22" s="16" t="str">
        <f>A21</f>
        <v>La Cassinella</v>
      </c>
      <c r="B22" s="16" t="s">
        <v>51</v>
      </c>
      <c r="C22" s="16" t="s">
        <v>165</v>
      </c>
      <c r="D22" s="18">
        <v>0.25</v>
      </c>
      <c r="E22" s="16" t="s">
        <v>51</v>
      </c>
      <c r="F22" s="17" t="s">
        <v>151</v>
      </c>
      <c r="G22" s="16" t="s">
        <v>0</v>
      </c>
      <c r="H22" s="25">
        <v>45945</v>
      </c>
    </row>
    <row r="23" spans="1:8" x14ac:dyDescent="0.35">
      <c r="A23" s="16" t="s">
        <v>18</v>
      </c>
      <c r="B23" s="16" t="s">
        <v>56</v>
      </c>
      <c r="C23" s="16" t="s">
        <v>170</v>
      </c>
      <c r="D23" s="18">
        <v>1</v>
      </c>
      <c r="E23" s="16" t="s">
        <v>58</v>
      </c>
      <c r="F23" s="17" t="s">
        <v>151</v>
      </c>
      <c r="G23" s="16" t="s">
        <v>0</v>
      </c>
      <c r="H23" s="25">
        <v>45945</v>
      </c>
    </row>
    <row r="24" spans="1:8" x14ac:dyDescent="0.35">
      <c r="A24" s="16" t="str">
        <f>A23</f>
        <v>La Merida</v>
      </c>
      <c r="B24" s="16" t="s">
        <v>57</v>
      </c>
      <c r="C24" s="16" t="s">
        <v>171</v>
      </c>
      <c r="D24" s="18">
        <v>1</v>
      </c>
      <c r="E24" s="10" t="s">
        <v>58</v>
      </c>
      <c r="F24" s="17" t="s">
        <v>151</v>
      </c>
      <c r="G24" s="16" t="s">
        <v>0</v>
      </c>
      <c r="H24" s="25">
        <v>45945</v>
      </c>
    </row>
    <row r="25" spans="1:8" x14ac:dyDescent="0.35">
      <c r="A25" s="16" t="str">
        <f>A24</f>
        <v>La Merida</v>
      </c>
      <c r="B25" s="16" t="s">
        <v>58</v>
      </c>
      <c r="C25" s="16" t="s">
        <v>172</v>
      </c>
      <c r="D25" s="18">
        <v>0.5</v>
      </c>
      <c r="E25" s="10" t="s">
        <v>58</v>
      </c>
      <c r="F25" s="17" t="s">
        <v>151</v>
      </c>
      <c r="G25" s="16" t="s">
        <v>0</v>
      </c>
      <c r="H25" s="25">
        <v>45945</v>
      </c>
    </row>
    <row r="26" spans="1:8" x14ac:dyDescent="0.35">
      <c r="A26" s="16" t="str">
        <f>A24</f>
        <v>La Merida</v>
      </c>
      <c r="B26" s="16" t="s">
        <v>59</v>
      </c>
      <c r="C26" s="16" t="s">
        <v>173</v>
      </c>
      <c r="D26" s="18">
        <v>1</v>
      </c>
      <c r="E26" s="16" t="s">
        <v>58</v>
      </c>
      <c r="F26" s="17" t="s">
        <v>151</v>
      </c>
      <c r="G26" s="16" t="s">
        <v>0</v>
      </c>
      <c r="H26" s="25">
        <v>45945</v>
      </c>
    </row>
    <row r="27" spans="1:8" x14ac:dyDescent="0.35">
      <c r="A27" s="16" t="s">
        <v>174</v>
      </c>
      <c r="B27" s="16" t="s">
        <v>60</v>
      </c>
      <c r="C27" s="16" t="s">
        <v>175</v>
      </c>
      <c r="D27" s="18">
        <v>1</v>
      </c>
      <c r="E27" s="16" t="s">
        <v>150</v>
      </c>
      <c r="F27" s="17" t="s">
        <v>151</v>
      </c>
      <c r="G27" s="16" t="s">
        <v>0</v>
      </c>
      <c r="H27" s="25">
        <v>45945</v>
      </c>
    </row>
    <row r="28" spans="1:8" x14ac:dyDescent="0.35">
      <c r="A28" s="16" t="str">
        <f>A27</f>
        <v>La Caleta-A</v>
      </c>
      <c r="B28" s="16" t="s">
        <v>38</v>
      </c>
      <c r="C28" s="16" t="s">
        <v>149</v>
      </c>
      <c r="D28" s="18">
        <v>0.25</v>
      </c>
      <c r="E28" s="16" t="s">
        <v>150</v>
      </c>
      <c r="F28" s="17" t="s">
        <v>151</v>
      </c>
      <c r="G28" s="16" t="s">
        <v>0</v>
      </c>
      <c r="H28" s="25">
        <v>45945</v>
      </c>
    </row>
    <row r="29" spans="1:8" x14ac:dyDescent="0.35">
      <c r="A29" s="16" t="str">
        <f>A28</f>
        <v>La Caleta-A</v>
      </c>
      <c r="B29" s="16" t="s">
        <v>40</v>
      </c>
      <c r="C29" s="16" t="s">
        <v>152</v>
      </c>
      <c r="D29" s="18">
        <v>0.25</v>
      </c>
      <c r="E29" s="10" t="s">
        <v>150</v>
      </c>
      <c r="F29" s="17" t="s">
        <v>151</v>
      </c>
      <c r="G29" s="16" t="s">
        <v>0</v>
      </c>
      <c r="H29" s="25">
        <v>45945</v>
      </c>
    </row>
    <row r="30" spans="1:8" x14ac:dyDescent="0.35">
      <c r="A30" s="16" t="str">
        <f>A29</f>
        <v>La Caleta-A</v>
      </c>
      <c r="B30" s="16" t="s">
        <v>61</v>
      </c>
      <c r="C30" s="16" t="s">
        <v>176</v>
      </c>
      <c r="D30" s="18">
        <v>1</v>
      </c>
      <c r="E30" s="16" t="s">
        <v>150</v>
      </c>
      <c r="F30" s="17" t="s">
        <v>151</v>
      </c>
      <c r="G30" s="16" t="s">
        <v>0</v>
      </c>
      <c r="H30" s="25">
        <v>45945</v>
      </c>
    </row>
    <row r="31" spans="1:8" x14ac:dyDescent="0.35">
      <c r="A31" s="16" t="str">
        <f>A30</f>
        <v>La Caleta-A</v>
      </c>
      <c r="B31" s="16" t="s">
        <v>43</v>
      </c>
      <c r="C31" s="16" t="s">
        <v>155</v>
      </c>
      <c r="D31" s="18">
        <v>0.25</v>
      </c>
      <c r="E31" s="16" t="s">
        <v>150</v>
      </c>
      <c r="F31" s="17" t="s">
        <v>151</v>
      </c>
      <c r="G31" s="16" t="s">
        <v>0</v>
      </c>
      <c r="H31" s="25">
        <v>45945</v>
      </c>
    </row>
    <row r="32" spans="1:8" x14ac:dyDescent="0.35">
      <c r="A32" s="16" t="s">
        <v>14</v>
      </c>
      <c r="B32" s="16" t="s">
        <v>62</v>
      </c>
      <c r="C32" s="16" t="s">
        <v>177</v>
      </c>
      <c r="D32" s="18">
        <v>1</v>
      </c>
      <c r="E32" t="s">
        <v>65</v>
      </c>
      <c r="F32" s="17" t="s">
        <v>178</v>
      </c>
      <c r="G32" s="16" t="s">
        <v>0</v>
      </c>
      <c r="H32" s="25">
        <v>45945</v>
      </c>
    </row>
    <row r="33" spans="1:8" x14ac:dyDescent="0.35">
      <c r="A33" s="16" t="str">
        <f>A32</f>
        <v>La Formosa</v>
      </c>
      <c r="B33" s="16" t="s">
        <v>63</v>
      </c>
      <c r="C33" s="16" t="s">
        <v>179</v>
      </c>
      <c r="D33" s="18">
        <v>1</v>
      </c>
      <c r="E33" t="s">
        <v>65</v>
      </c>
      <c r="F33" s="17" t="s">
        <v>178</v>
      </c>
      <c r="G33" s="16" t="s">
        <v>0</v>
      </c>
      <c r="H33" s="25">
        <v>45945</v>
      </c>
    </row>
    <row r="34" spans="1:8" x14ac:dyDescent="0.35">
      <c r="A34" s="16" t="str">
        <f>A33</f>
        <v>La Formosa</v>
      </c>
      <c r="B34" s="16" t="s">
        <v>64</v>
      </c>
      <c r="C34" s="16" t="s">
        <v>180</v>
      </c>
      <c r="D34" s="18">
        <v>1</v>
      </c>
      <c r="E34" s="16" t="s">
        <v>65</v>
      </c>
      <c r="F34" s="17" t="s">
        <v>178</v>
      </c>
      <c r="G34" s="16" t="s">
        <v>0</v>
      </c>
      <c r="H34" s="25">
        <v>45945</v>
      </c>
    </row>
    <row r="35" spans="1:8" x14ac:dyDescent="0.35">
      <c r="A35" s="16" t="str">
        <f>A34</f>
        <v>La Formosa</v>
      </c>
      <c r="B35" s="4" t="s">
        <v>65</v>
      </c>
      <c r="C35" s="16" t="s">
        <v>181</v>
      </c>
      <c r="D35" s="18">
        <v>0.5</v>
      </c>
      <c r="E35" s="16" t="s">
        <v>65</v>
      </c>
      <c r="F35" s="17" t="s">
        <v>178</v>
      </c>
      <c r="G35" s="16" t="s">
        <v>0</v>
      </c>
      <c r="H35" s="25">
        <v>45945</v>
      </c>
    </row>
    <row r="36" spans="1:8" x14ac:dyDescent="0.35">
      <c r="A36" s="16" t="s">
        <v>17</v>
      </c>
      <c r="B36" s="16" t="s">
        <v>66</v>
      </c>
      <c r="C36" s="16" t="s">
        <v>182</v>
      </c>
      <c r="D36" s="18">
        <v>1</v>
      </c>
      <c r="E36" s="16" t="s">
        <v>58</v>
      </c>
      <c r="F36" s="17" t="s">
        <v>151</v>
      </c>
      <c r="G36" s="16" t="s">
        <v>0</v>
      </c>
      <c r="H36" s="25">
        <v>45945</v>
      </c>
    </row>
    <row r="37" spans="1:8" x14ac:dyDescent="0.35">
      <c r="A37" s="16" t="str">
        <f>A36</f>
        <v>La Massima</v>
      </c>
      <c r="B37" s="16" t="s">
        <v>67</v>
      </c>
      <c r="C37" s="16" t="s">
        <v>183</v>
      </c>
      <c r="D37" s="18">
        <v>1</v>
      </c>
      <c r="E37" s="16" t="s">
        <v>58</v>
      </c>
      <c r="F37" s="17" t="s">
        <v>151</v>
      </c>
      <c r="G37" s="16" t="s">
        <v>0</v>
      </c>
      <c r="H37" s="25">
        <v>45945</v>
      </c>
    </row>
    <row r="38" spans="1:8" x14ac:dyDescent="0.35">
      <c r="A38" s="16" t="str">
        <f>A37</f>
        <v>La Massima</v>
      </c>
      <c r="B38" s="16" t="s">
        <v>58</v>
      </c>
      <c r="C38" s="16" t="s">
        <v>172</v>
      </c>
      <c r="D38" s="18">
        <v>0.5</v>
      </c>
      <c r="E38" s="16" t="s">
        <v>58</v>
      </c>
      <c r="F38" s="17" t="s">
        <v>151</v>
      </c>
      <c r="G38" s="16" t="s">
        <v>0</v>
      </c>
      <c r="H38" s="25">
        <v>45945</v>
      </c>
    </row>
    <row r="39" spans="1:8" x14ac:dyDescent="0.35">
      <c r="A39" s="16" t="str">
        <f>A38</f>
        <v>La Massima</v>
      </c>
      <c r="B39" s="16" t="s">
        <v>68</v>
      </c>
      <c r="C39" s="16" t="s">
        <v>184</v>
      </c>
      <c r="D39" s="18">
        <v>1</v>
      </c>
      <c r="E39" s="16" t="s">
        <v>58</v>
      </c>
      <c r="F39" s="17" t="s">
        <v>151</v>
      </c>
      <c r="G39" s="16" t="s">
        <v>0</v>
      </c>
      <c r="H39" s="25">
        <v>45945</v>
      </c>
    </row>
    <row r="40" spans="1:8" x14ac:dyDescent="0.35">
      <c r="A40" s="16" t="str">
        <f>A39</f>
        <v>La Massima</v>
      </c>
      <c r="B40" s="16" t="s">
        <v>69</v>
      </c>
      <c r="C40" s="16" t="s">
        <v>185</v>
      </c>
      <c r="D40" s="18">
        <v>1</v>
      </c>
      <c r="E40" s="16"/>
      <c r="F40" s="17"/>
      <c r="G40" s="16" t="s">
        <v>0</v>
      </c>
      <c r="H40" s="25">
        <v>45945</v>
      </c>
    </row>
    <row r="41" spans="1:8" x14ac:dyDescent="0.35">
      <c r="A41" s="16" t="s">
        <v>19</v>
      </c>
      <c r="B41" s="4" t="s">
        <v>70</v>
      </c>
      <c r="C41" s="16" t="s">
        <v>186</v>
      </c>
      <c r="D41" s="18">
        <v>1</v>
      </c>
      <c r="E41" s="10" t="s">
        <v>187</v>
      </c>
      <c r="F41" s="17" t="s">
        <v>178</v>
      </c>
      <c r="G41" s="16" t="s">
        <v>0</v>
      </c>
      <c r="H41" s="25">
        <v>45945</v>
      </c>
    </row>
    <row r="42" spans="1:8" x14ac:dyDescent="0.35">
      <c r="A42" s="16" t="str">
        <f>A41</f>
        <v>La Mora</v>
      </c>
      <c r="B42" s="4" t="s">
        <v>71</v>
      </c>
      <c r="C42" s="16" t="s">
        <v>188</v>
      </c>
      <c r="D42" s="18">
        <v>1</v>
      </c>
      <c r="E42" s="10" t="s">
        <v>187</v>
      </c>
      <c r="F42" s="17" t="s">
        <v>178</v>
      </c>
      <c r="G42" s="16" t="s">
        <v>0</v>
      </c>
      <c r="H42" s="25">
        <v>45945</v>
      </c>
    </row>
    <row r="43" spans="1:8" x14ac:dyDescent="0.35">
      <c r="A43" s="16" t="s">
        <v>2</v>
      </c>
      <c r="B43" s="4" t="s">
        <v>72</v>
      </c>
      <c r="C43" s="16" t="s">
        <v>189</v>
      </c>
      <c r="D43" s="18">
        <v>1</v>
      </c>
      <c r="E43" s="10" t="s">
        <v>51</v>
      </c>
      <c r="F43" s="17" t="s">
        <v>151</v>
      </c>
      <c r="G43" s="16" t="s">
        <v>0</v>
      </c>
      <c r="H43" s="25">
        <v>45945</v>
      </c>
    </row>
    <row r="44" spans="1:8" x14ac:dyDescent="0.35">
      <c r="A44" s="16" t="str">
        <f>A43</f>
        <v>El Benito</v>
      </c>
      <c r="B44" s="4" t="s">
        <v>51</v>
      </c>
      <c r="C44" s="16" t="s">
        <v>165</v>
      </c>
      <c r="D44" s="18">
        <v>0.25</v>
      </c>
      <c r="E44" s="10" t="s">
        <v>51</v>
      </c>
      <c r="F44" s="17" t="s">
        <v>151</v>
      </c>
      <c r="G44" s="16" t="s">
        <v>0</v>
      </c>
      <c r="H44" s="25">
        <v>45945</v>
      </c>
    </row>
    <row r="45" spans="1:8" x14ac:dyDescent="0.35">
      <c r="A45" s="16" t="s">
        <v>15</v>
      </c>
      <c r="B45" s="4" t="s">
        <v>73</v>
      </c>
      <c r="C45" s="16" t="s">
        <v>190</v>
      </c>
      <c r="D45" s="18">
        <v>1</v>
      </c>
      <c r="E45" t="s">
        <v>74</v>
      </c>
      <c r="F45" s="17" t="s">
        <v>151</v>
      </c>
      <c r="G45" s="16" t="s">
        <v>0</v>
      </c>
      <c r="H45" s="25">
        <v>45945</v>
      </c>
    </row>
    <row r="46" spans="1:8" x14ac:dyDescent="0.35">
      <c r="A46" s="16" t="str">
        <f t="shared" ref="A46:A50" si="1">A45</f>
        <v>La Luciana</v>
      </c>
      <c r="B46" s="4" t="s">
        <v>74</v>
      </c>
      <c r="C46" s="16" t="s">
        <v>191</v>
      </c>
      <c r="D46" s="18">
        <v>0.25</v>
      </c>
      <c r="E46" t="s">
        <v>74</v>
      </c>
      <c r="F46" s="17" t="s">
        <v>151</v>
      </c>
      <c r="G46" s="16" t="s">
        <v>0</v>
      </c>
      <c r="H46" s="25">
        <v>45945</v>
      </c>
    </row>
    <row r="47" spans="1:8" x14ac:dyDescent="0.35">
      <c r="A47" s="16" t="str">
        <f t="shared" si="1"/>
        <v>La Luciana</v>
      </c>
      <c r="B47" s="4" t="s">
        <v>75</v>
      </c>
      <c r="C47" s="16" t="s">
        <v>192</v>
      </c>
      <c r="D47" s="18">
        <v>1</v>
      </c>
      <c r="E47" t="s">
        <v>74</v>
      </c>
      <c r="F47" s="17" t="s">
        <v>151</v>
      </c>
      <c r="G47" s="16" t="s">
        <v>0</v>
      </c>
      <c r="H47" s="25">
        <v>45945</v>
      </c>
    </row>
    <row r="48" spans="1:8" x14ac:dyDescent="0.35">
      <c r="A48" s="16" t="str">
        <f t="shared" si="1"/>
        <v>La Luciana</v>
      </c>
      <c r="B48" s="4" t="s">
        <v>76</v>
      </c>
      <c r="C48" s="16" t="s">
        <v>193</v>
      </c>
      <c r="D48" s="18">
        <v>1</v>
      </c>
      <c r="E48" t="s">
        <v>74</v>
      </c>
      <c r="F48" s="17" t="s">
        <v>151</v>
      </c>
      <c r="G48" s="16" t="s">
        <v>0</v>
      </c>
      <c r="H48" s="25">
        <v>45945</v>
      </c>
    </row>
    <row r="49" spans="1:8" x14ac:dyDescent="0.35">
      <c r="A49" s="16" t="str">
        <f t="shared" si="1"/>
        <v>La Luciana</v>
      </c>
      <c r="B49" s="20" t="s">
        <v>77</v>
      </c>
      <c r="C49" s="16" t="s">
        <v>194</v>
      </c>
      <c r="D49" s="18">
        <v>1</v>
      </c>
      <c r="E49" s="16"/>
      <c r="F49" s="17"/>
      <c r="G49" s="16" t="s">
        <v>0</v>
      </c>
      <c r="H49" s="25">
        <v>45945</v>
      </c>
    </row>
    <row r="50" spans="1:8" x14ac:dyDescent="0.35">
      <c r="A50" s="16" t="str">
        <f t="shared" si="1"/>
        <v>La Luciana</v>
      </c>
      <c r="B50" s="20" t="s">
        <v>78</v>
      </c>
      <c r="C50" s="16" t="s">
        <v>194</v>
      </c>
      <c r="D50" s="18">
        <v>1</v>
      </c>
      <c r="E50" s="16"/>
      <c r="F50" s="17"/>
      <c r="G50" s="16" t="s">
        <v>0</v>
      </c>
      <c r="H50" s="25">
        <v>45945</v>
      </c>
    </row>
    <row r="51" spans="1:8" x14ac:dyDescent="0.35">
      <c r="A51" s="16" t="s">
        <v>195</v>
      </c>
      <c r="B51" s="4" t="s">
        <v>79</v>
      </c>
      <c r="C51" s="16" t="s">
        <v>196</v>
      </c>
      <c r="D51" s="18">
        <v>0.33200000000000002</v>
      </c>
      <c r="E51" s="16" t="s">
        <v>187</v>
      </c>
      <c r="F51" s="17" t="s">
        <v>178</v>
      </c>
      <c r="G51" s="16" t="s">
        <v>0</v>
      </c>
      <c r="H51" s="25">
        <v>45945</v>
      </c>
    </row>
    <row r="52" spans="1:8" x14ac:dyDescent="0.35">
      <c r="A52" s="16" t="str">
        <f>A51</f>
        <v>Villa Queira (Villa Eivissa)</v>
      </c>
      <c r="B52" s="4" t="s">
        <v>80</v>
      </c>
      <c r="C52" s="16" t="s">
        <v>197</v>
      </c>
      <c r="D52" s="18">
        <v>0.33200000000000002</v>
      </c>
      <c r="E52" s="16" t="s">
        <v>187</v>
      </c>
      <c r="F52" s="17" t="s">
        <v>178</v>
      </c>
      <c r="G52" s="16" t="s">
        <v>0</v>
      </c>
      <c r="H52" s="25">
        <v>45945</v>
      </c>
    </row>
    <row r="53" spans="1:8" x14ac:dyDescent="0.35">
      <c r="A53" s="16" t="str">
        <f>A52</f>
        <v>Villa Queira (Villa Eivissa)</v>
      </c>
      <c r="B53" s="4" t="s">
        <v>81</v>
      </c>
      <c r="C53" s="16" t="s">
        <v>198</v>
      </c>
      <c r="D53" s="18">
        <v>0.33200000000000002</v>
      </c>
      <c r="E53" s="10" t="s">
        <v>187</v>
      </c>
      <c r="F53" s="17" t="s">
        <v>178</v>
      </c>
      <c r="G53" s="16" t="s">
        <v>0</v>
      </c>
      <c r="H53" s="25">
        <v>45945</v>
      </c>
    </row>
    <row r="54" spans="1:8" x14ac:dyDescent="0.35">
      <c r="A54" s="16" t="str">
        <f>A53</f>
        <v>Villa Queira (Villa Eivissa)</v>
      </c>
      <c r="B54" s="4" t="s">
        <v>82</v>
      </c>
      <c r="C54" s="16" t="s">
        <v>199</v>
      </c>
      <c r="D54" s="18">
        <v>0.33200000000000002</v>
      </c>
      <c r="E54" s="16"/>
      <c r="F54" s="17"/>
      <c r="G54" s="16" t="s">
        <v>0</v>
      </c>
      <c r="H54" s="25">
        <v>45945</v>
      </c>
    </row>
    <row r="55" spans="1:8" x14ac:dyDescent="0.35">
      <c r="A55" s="16" t="s">
        <v>32</v>
      </c>
      <c r="B55" s="4" t="s">
        <v>79</v>
      </c>
      <c r="C55" s="16" t="s">
        <v>196</v>
      </c>
      <c r="D55" s="18">
        <v>0.33200000000000002</v>
      </c>
      <c r="E55" s="16" t="s">
        <v>187</v>
      </c>
      <c r="F55" s="17" t="s">
        <v>178</v>
      </c>
      <c r="G55" s="16" t="s">
        <v>0</v>
      </c>
      <c r="H55" s="25">
        <v>45945</v>
      </c>
    </row>
    <row r="56" spans="1:8" x14ac:dyDescent="0.35">
      <c r="A56" s="16" t="str">
        <f>A55</f>
        <v>Villa Moraira</v>
      </c>
      <c r="B56" s="4" t="s">
        <v>80</v>
      </c>
      <c r="C56" s="16" t="s">
        <v>197</v>
      </c>
      <c r="D56" s="18">
        <v>0.33200000000000002</v>
      </c>
      <c r="E56" s="16" t="s">
        <v>187</v>
      </c>
      <c r="F56" s="17" t="s">
        <v>178</v>
      </c>
      <c r="G56" s="16" t="s">
        <v>0</v>
      </c>
      <c r="H56" s="25">
        <v>45945</v>
      </c>
    </row>
    <row r="57" spans="1:8" x14ac:dyDescent="0.35">
      <c r="A57" s="16" t="str">
        <f>A56</f>
        <v>Villa Moraira</v>
      </c>
      <c r="B57" s="4" t="s">
        <v>81</v>
      </c>
      <c r="C57" s="16" t="s">
        <v>198</v>
      </c>
      <c r="D57" s="18">
        <v>0.33200000000000002</v>
      </c>
      <c r="E57" s="10" t="s">
        <v>187</v>
      </c>
      <c r="F57" s="17" t="s">
        <v>178</v>
      </c>
      <c r="G57" s="16" t="s">
        <v>0</v>
      </c>
      <c r="H57" s="25">
        <v>45945</v>
      </c>
    </row>
    <row r="58" spans="1:8" x14ac:dyDescent="0.35">
      <c r="A58" s="16" t="str">
        <f>A57</f>
        <v>Villa Moraira</v>
      </c>
      <c r="B58" s="4" t="s">
        <v>82</v>
      </c>
      <c r="C58" s="16" t="s">
        <v>199</v>
      </c>
      <c r="D58" s="18">
        <v>0.33200000000000002</v>
      </c>
      <c r="E58" s="16"/>
      <c r="F58" s="17"/>
      <c r="G58" s="16" t="s">
        <v>0</v>
      </c>
      <c r="H58" s="25">
        <v>45945</v>
      </c>
    </row>
    <row r="59" spans="1:8" x14ac:dyDescent="0.35">
      <c r="A59" s="16" t="s">
        <v>33</v>
      </c>
      <c r="B59" s="4" t="s">
        <v>79</v>
      </c>
      <c r="C59" s="16" t="s">
        <v>196</v>
      </c>
      <c r="D59" s="18">
        <v>0.33200000000000002</v>
      </c>
      <c r="E59" s="16" t="s">
        <v>187</v>
      </c>
      <c r="F59" s="17" t="s">
        <v>178</v>
      </c>
      <c r="G59" s="16" t="s">
        <v>0</v>
      </c>
      <c r="H59" s="25">
        <v>45945</v>
      </c>
    </row>
    <row r="60" spans="1:8" x14ac:dyDescent="0.35">
      <c r="A60" s="16" t="str">
        <f>A59</f>
        <v>Villa Serrada</v>
      </c>
      <c r="B60" s="4" t="s">
        <v>80</v>
      </c>
      <c r="C60" s="16" t="s">
        <v>197</v>
      </c>
      <c r="D60" s="18">
        <v>0.33200000000000002</v>
      </c>
      <c r="E60" s="16" t="s">
        <v>187</v>
      </c>
      <c r="F60" s="17" t="s">
        <v>178</v>
      </c>
      <c r="G60" s="16" t="s">
        <v>0</v>
      </c>
      <c r="H60" s="25">
        <v>45945</v>
      </c>
    </row>
    <row r="61" spans="1:8" x14ac:dyDescent="0.35">
      <c r="A61" s="16" t="str">
        <f>A60</f>
        <v>Villa Serrada</v>
      </c>
      <c r="B61" s="4" t="s">
        <v>81</v>
      </c>
      <c r="C61" s="16" t="s">
        <v>198</v>
      </c>
      <c r="D61" s="18">
        <v>0.33200000000000002</v>
      </c>
      <c r="E61" s="10" t="s">
        <v>187</v>
      </c>
      <c r="F61" s="17" t="s">
        <v>178</v>
      </c>
      <c r="G61" s="16" t="s">
        <v>0</v>
      </c>
      <c r="H61" s="25">
        <v>45945</v>
      </c>
    </row>
    <row r="62" spans="1:8" x14ac:dyDescent="0.35">
      <c r="A62" s="16" t="str">
        <f>A61</f>
        <v>Villa Serrada</v>
      </c>
      <c r="B62" s="4" t="s">
        <v>82</v>
      </c>
      <c r="C62" s="16" t="s">
        <v>199</v>
      </c>
      <c r="D62" s="18">
        <v>0.33200000000000002</v>
      </c>
      <c r="E62" s="16"/>
      <c r="F62" s="17"/>
      <c r="G62" s="16" t="s">
        <v>0</v>
      </c>
      <c r="H62" s="25">
        <v>45945</v>
      </c>
    </row>
    <row r="63" spans="1:8" x14ac:dyDescent="0.35">
      <c r="A63" s="16" t="s">
        <v>20</v>
      </c>
      <c r="B63" s="4" t="s">
        <v>83</v>
      </c>
      <c r="C63" s="16" t="s">
        <v>200</v>
      </c>
      <c r="D63" s="18">
        <v>1</v>
      </c>
      <c r="E63" s="16" t="s">
        <v>187</v>
      </c>
      <c r="F63" s="17" t="s">
        <v>178</v>
      </c>
      <c r="G63" s="16" t="s">
        <v>0</v>
      </c>
      <c r="H63" s="25">
        <v>45945</v>
      </c>
    </row>
    <row r="64" spans="1:8" x14ac:dyDescent="0.35">
      <c r="A64" s="16" t="str">
        <f>A63</f>
        <v>La Olvera</v>
      </c>
      <c r="B64" s="4" t="s">
        <v>84</v>
      </c>
      <c r="C64" s="16" t="s">
        <v>201</v>
      </c>
      <c r="D64" s="18">
        <v>1</v>
      </c>
      <c r="E64" s="16"/>
      <c r="F64" s="17"/>
      <c r="G64" s="16" t="s">
        <v>0</v>
      </c>
      <c r="H64" s="25">
        <v>45945</v>
      </c>
    </row>
    <row r="65" spans="1:8" x14ac:dyDescent="0.35">
      <c r="A65" s="16" t="s">
        <v>31</v>
      </c>
      <c r="B65" s="4" t="s">
        <v>85</v>
      </c>
      <c r="C65" s="16" t="s">
        <v>202</v>
      </c>
      <c r="D65" s="18">
        <v>0.25</v>
      </c>
      <c r="E65" s="16" t="s">
        <v>88</v>
      </c>
      <c r="F65" s="17" t="s">
        <v>178</v>
      </c>
      <c r="G65" s="16" t="s">
        <v>0</v>
      </c>
      <c r="H65" s="25">
        <v>45945</v>
      </c>
    </row>
    <row r="66" spans="1:8" x14ac:dyDescent="0.35">
      <c r="A66" s="16" t="str">
        <f>A65</f>
        <v>Villa Da Seinna</v>
      </c>
      <c r="B66" s="4" t="s">
        <v>86</v>
      </c>
      <c r="C66" s="16" t="s">
        <v>203</v>
      </c>
      <c r="D66" s="18">
        <v>0.25</v>
      </c>
      <c r="E66" s="16" t="s">
        <v>88</v>
      </c>
      <c r="F66" s="17" t="s">
        <v>178</v>
      </c>
      <c r="G66" s="16" t="s">
        <v>0</v>
      </c>
      <c r="H66" s="25">
        <v>45945</v>
      </c>
    </row>
    <row r="67" spans="1:8" x14ac:dyDescent="0.35">
      <c r="A67" s="16" t="str">
        <f>A66</f>
        <v>Villa Da Seinna</v>
      </c>
      <c r="B67" s="4" t="s">
        <v>87</v>
      </c>
      <c r="C67" s="16" t="s">
        <v>204</v>
      </c>
      <c r="D67" s="18">
        <v>0.25</v>
      </c>
      <c r="E67" s="4" t="s">
        <v>88</v>
      </c>
      <c r="F67" s="17" t="s">
        <v>178</v>
      </c>
      <c r="G67" s="16" t="s">
        <v>0</v>
      </c>
      <c r="H67" s="25">
        <v>45945</v>
      </c>
    </row>
    <row r="68" spans="1:8" x14ac:dyDescent="0.35">
      <c r="A68" s="16" t="str">
        <f>A67</f>
        <v>Villa Da Seinna</v>
      </c>
      <c r="B68" s="4" t="s">
        <v>88</v>
      </c>
      <c r="C68" s="16" t="s">
        <v>205</v>
      </c>
      <c r="D68" s="18">
        <v>0.25</v>
      </c>
      <c r="E68" s="4" t="s">
        <v>88</v>
      </c>
      <c r="F68" s="17" t="s">
        <v>178</v>
      </c>
      <c r="G68" s="16" t="s">
        <v>0</v>
      </c>
      <c r="H68" s="25">
        <v>45945</v>
      </c>
    </row>
    <row r="69" spans="1:8" x14ac:dyDescent="0.35">
      <c r="A69" s="16" t="str">
        <f>A68</f>
        <v>Villa Da Seinna</v>
      </c>
      <c r="B69" s="10" t="s">
        <v>89</v>
      </c>
      <c r="C69" s="16" t="s">
        <v>167</v>
      </c>
      <c r="D69" s="18">
        <v>0.25</v>
      </c>
      <c r="E69" s="16"/>
      <c r="F69" s="17"/>
      <c r="G69" s="16" t="s">
        <v>0</v>
      </c>
      <c r="H69" s="25">
        <v>45945</v>
      </c>
    </row>
    <row r="70" spans="1:8" x14ac:dyDescent="0.35">
      <c r="A70" s="16" t="s">
        <v>34</v>
      </c>
      <c r="B70" s="4" t="s">
        <v>90</v>
      </c>
      <c r="C70" s="16" t="s">
        <v>206</v>
      </c>
      <c r="D70" s="18">
        <v>1</v>
      </c>
      <c r="E70" s="16" t="s">
        <v>74</v>
      </c>
      <c r="F70" s="17" t="s">
        <v>151</v>
      </c>
      <c r="G70" s="16" t="s">
        <v>0</v>
      </c>
      <c r="H70" s="25">
        <v>45945</v>
      </c>
    </row>
    <row r="71" spans="1:8" x14ac:dyDescent="0.35">
      <c r="A71" s="16" t="str">
        <f>A70</f>
        <v>Villa Tathastu (Villa Clara)</v>
      </c>
      <c r="B71" s="4" t="s">
        <v>91</v>
      </c>
      <c r="C71" s="16" t="s">
        <v>207</v>
      </c>
      <c r="D71" s="18">
        <v>1</v>
      </c>
      <c r="E71" s="16" t="s">
        <v>74</v>
      </c>
      <c r="F71" s="17" t="s">
        <v>151</v>
      </c>
      <c r="G71" s="16" t="s">
        <v>0</v>
      </c>
      <c r="H71" s="25">
        <v>45945</v>
      </c>
    </row>
    <row r="72" spans="1:8" x14ac:dyDescent="0.35">
      <c r="A72" s="16" t="str">
        <f>A71</f>
        <v>Villa Tathastu (Villa Clara)</v>
      </c>
      <c r="B72" s="4" t="s">
        <v>74</v>
      </c>
      <c r="C72" s="16" t="s">
        <v>191</v>
      </c>
      <c r="D72" s="18">
        <v>0.25</v>
      </c>
      <c r="E72" s="16" t="s">
        <v>74</v>
      </c>
      <c r="F72" s="17" t="s">
        <v>151</v>
      </c>
      <c r="G72" s="16" t="s">
        <v>0</v>
      </c>
      <c r="H72" s="25">
        <v>45945</v>
      </c>
    </row>
    <row r="73" spans="1:8" x14ac:dyDescent="0.35">
      <c r="A73" s="16" t="s">
        <v>11</v>
      </c>
      <c r="B73" s="4" t="s">
        <v>92</v>
      </c>
      <c r="C73" s="16" t="s">
        <v>208</v>
      </c>
      <c r="D73" s="18">
        <v>0.5</v>
      </c>
      <c r="E73" s="4" t="s">
        <v>97</v>
      </c>
      <c r="F73" s="17" t="s">
        <v>151</v>
      </c>
      <c r="G73" s="16" t="s">
        <v>0</v>
      </c>
      <c r="H73" s="25">
        <v>45945</v>
      </c>
    </row>
    <row r="74" spans="1:8" x14ac:dyDescent="0.35">
      <c r="A74" s="16" t="str">
        <f t="shared" ref="A74:A80" si="2">A73</f>
        <v>La Esca Estate</v>
      </c>
      <c r="B74" s="4" t="s">
        <v>93</v>
      </c>
      <c r="C74" s="16" t="s">
        <v>209</v>
      </c>
      <c r="D74" s="18">
        <v>1</v>
      </c>
      <c r="E74" s="16"/>
      <c r="F74" s="17"/>
      <c r="G74" s="16" t="s">
        <v>0</v>
      </c>
      <c r="H74" s="25">
        <v>45945</v>
      </c>
    </row>
    <row r="75" spans="1:8" x14ac:dyDescent="0.35">
      <c r="A75" s="16" t="str">
        <f t="shared" si="2"/>
        <v>La Esca Estate</v>
      </c>
      <c r="B75" s="4" t="s">
        <v>94</v>
      </c>
      <c r="C75" s="16" t="s">
        <v>210</v>
      </c>
      <c r="D75" s="18">
        <v>0.5</v>
      </c>
      <c r="E75" s="16"/>
      <c r="F75" s="17"/>
      <c r="G75" s="16" t="s">
        <v>0</v>
      </c>
      <c r="H75" s="25">
        <v>45945</v>
      </c>
    </row>
    <row r="76" spans="1:8" x14ac:dyDescent="0.35">
      <c r="A76" s="16" t="str">
        <f t="shared" si="2"/>
        <v>La Esca Estate</v>
      </c>
      <c r="B76" s="11" t="s">
        <v>95</v>
      </c>
      <c r="C76" s="16" t="s">
        <v>211</v>
      </c>
      <c r="D76" s="18">
        <v>1</v>
      </c>
      <c r="E76" s="4" t="s">
        <v>97</v>
      </c>
      <c r="F76" s="17" t="s">
        <v>151</v>
      </c>
      <c r="G76" s="16" t="s">
        <v>0</v>
      </c>
      <c r="H76" s="25">
        <v>45945</v>
      </c>
    </row>
    <row r="77" spans="1:8" x14ac:dyDescent="0.35">
      <c r="A77" s="16" t="str">
        <f t="shared" si="2"/>
        <v>La Esca Estate</v>
      </c>
      <c r="B77" s="4" t="s">
        <v>96</v>
      </c>
      <c r="C77" s="16" t="s">
        <v>212</v>
      </c>
      <c r="D77" s="18">
        <v>0.33200000000000002</v>
      </c>
      <c r="E77" s="16"/>
      <c r="F77" s="17"/>
      <c r="G77" s="16" t="s">
        <v>0</v>
      </c>
      <c r="H77" s="25">
        <v>45945</v>
      </c>
    </row>
    <row r="78" spans="1:8" x14ac:dyDescent="0.35">
      <c r="A78" s="16" t="str">
        <f t="shared" si="2"/>
        <v>La Esca Estate</v>
      </c>
      <c r="B78" s="4" t="s">
        <v>97</v>
      </c>
      <c r="C78" s="16" t="s">
        <v>213</v>
      </c>
      <c r="D78" s="18">
        <v>0.33200000000000002</v>
      </c>
      <c r="E78" s="16"/>
      <c r="F78" s="17"/>
      <c r="G78" s="16" t="s">
        <v>0</v>
      </c>
      <c r="H78" s="25">
        <v>45945</v>
      </c>
    </row>
    <row r="79" spans="1:8" x14ac:dyDescent="0.35">
      <c r="A79" s="16" t="str">
        <f t="shared" si="2"/>
        <v>La Esca Estate</v>
      </c>
      <c r="B79" s="4" t="s">
        <v>98</v>
      </c>
      <c r="C79" s="16" t="s">
        <v>214</v>
      </c>
      <c r="D79" s="18">
        <v>0.33200000000000002</v>
      </c>
      <c r="E79" s="4" t="s">
        <v>97</v>
      </c>
      <c r="F79" s="17" t="s">
        <v>151</v>
      </c>
      <c r="G79" s="16" t="s">
        <v>0</v>
      </c>
      <c r="H79" s="25">
        <v>45945</v>
      </c>
    </row>
    <row r="80" spans="1:8" x14ac:dyDescent="0.35">
      <c r="A80" s="16" t="str">
        <f t="shared" si="2"/>
        <v>La Esca Estate</v>
      </c>
      <c r="B80" s="4" t="s">
        <v>99</v>
      </c>
      <c r="C80" s="16" t="s">
        <v>215</v>
      </c>
      <c r="D80" s="18">
        <v>0.5</v>
      </c>
      <c r="E80" s="16" t="s">
        <v>97</v>
      </c>
      <c r="F80" s="17" t="s">
        <v>151</v>
      </c>
      <c r="G80" s="16" t="s">
        <v>0</v>
      </c>
      <c r="H80" s="25">
        <v>45945</v>
      </c>
    </row>
    <row r="81" spans="1:8" x14ac:dyDescent="0.35">
      <c r="A81" s="16" t="s">
        <v>22</v>
      </c>
      <c r="B81" s="4" t="s">
        <v>100</v>
      </c>
      <c r="C81" s="16" t="s">
        <v>216</v>
      </c>
      <c r="D81" s="18">
        <v>1</v>
      </c>
      <c r="E81" s="16" t="s">
        <v>51</v>
      </c>
      <c r="F81" s="17" t="s">
        <v>151</v>
      </c>
      <c r="G81" s="16" t="s">
        <v>0</v>
      </c>
      <c r="H81" s="25">
        <v>45945</v>
      </c>
    </row>
    <row r="82" spans="1:8" x14ac:dyDescent="0.35">
      <c r="A82" s="16" t="str">
        <f>A81</f>
        <v>La Soleada</v>
      </c>
      <c r="B82" s="4" t="s">
        <v>51</v>
      </c>
      <c r="C82" s="16" t="s">
        <v>165</v>
      </c>
      <c r="D82" s="18">
        <v>0.25</v>
      </c>
      <c r="E82" s="16" t="s">
        <v>51</v>
      </c>
      <c r="F82" s="17" t="s">
        <v>151</v>
      </c>
      <c r="G82" s="16" t="s">
        <v>0</v>
      </c>
      <c r="H82" s="25">
        <v>45945</v>
      </c>
    </row>
    <row r="83" spans="1:8" x14ac:dyDescent="0.35">
      <c r="A83" s="16" t="str">
        <f>A82</f>
        <v>La Soleada</v>
      </c>
      <c r="B83" s="4" t="s">
        <v>101</v>
      </c>
      <c r="C83" s="16" t="s">
        <v>217</v>
      </c>
      <c r="D83" s="18">
        <v>1</v>
      </c>
      <c r="E83" s="10" t="s">
        <v>51</v>
      </c>
      <c r="F83" s="17" t="s">
        <v>151</v>
      </c>
      <c r="G83" s="16" t="s">
        <v>0</v>
      </c>
      <c r="H83" s="25">
        <v>45945</v>
      </c>
    </row>
    <row r="84" spans="1:8" x14ac:dyDescent="0.35">
      <c r="A84" s="16" t="str">
        <f>A83</f>
        <v>La Soleada</v>
      </c>
      <c r="B84" s="4" t="s">
        <v>102</v>
      </c>
      <c r="C84" s="16" t="s">
        <v>218</v>
      </c>
      <c r="D84" s="18">
        <v>1</v>
      </c>
      <c r="E84" s="10" t="s">
        <v>51</v>
      </c>
      <c r="F84" s="17" t="s">
        <v>151</v>
      </c>
      <c r="G84" s="16" t="s">
        <v>0</v>
      </c>
      <c r="H84" s="25">
        <v>45945</v>
      </c>
    </row>
    <row r="85" spans="1:8" x14ac:dyDescent="0.35">
      <c r="A85" s="16" t="str">
        <f>A84</f>
        <v>La Soleada</v>
      </c>
      <c r="B85" s="4" t="s">
        <v>103</v>
      </c>
      <c r="C85" s="16" t="s">
        <v>219</v>
      </c>
      <c r="D85" s="18">
        <v>1</v>
      </c>
      <c r="E85" s="10" t="s">
        <v>51</v>
      </c>
      <c r="F85" s="17" t="s">
        <v>151</v>
      </c>
      <c r="G85" s="16" t="s">
        <v>0</v>
      </c>
      <c r="H85" s="25">
        <v>45945</v>
      </c>
    </row>
    <row r="86" spans="1:8" x14ac:dyDescent="0.35">
      <c r="A86" s="16" t="s">
        <v>12</v>
      </c>
      <c r="B86" s="4" t="s">
        <v>38</v>
      </c>
      <c r="C86" s="16" t="s">
        <v>149</v>
      </c>
      <c r="D86" s="18">
        <v>0.25</v>
      </c>
      <c r="E86" s="16" t="s">
        <v>150</v>
      </c>
      <c r="F86" s="17" t="s">
        <v>151</v>
      </c>
      <c r="G86" s="16" t="s">
        <v>0</v>
      </c>
      <c r="H86" s="25">
        <v>45945</v>
      </c>
    </row>
    <row r="87" spans="1:8" x14ac:dyDescent="0.35">
      <c r="A87" s="16" t="str">
        <f>A86</f>
        <v>La Estella 2 &amp; 3</v>
      </c>
      <c r="B87" s="4" t="s">
        <v>40</v>
      </c>
      <c r="C87" s="16" t="s">
        <v>152</v>
      </c>
      <c r="D87" s="18">
        <v>0.25</v>
      </c>
      <c r="E87" s="10" t="s">
        <v>150</v>
      </c>
      <c r="F87" s="17" t="s">
        <v>151</v>
      </c>
      <c r="G87" s="16" t="s">
        <v>0</v>
      </c>
      <c r="H87" s="25">
        <v>45945</v>
      </c>
    </row>
    <row r="88" spans="1:8" x14ac:dyDescent="0.35">
      <c r="A88" s="16" t="str">
        <f t="shared" ref="A88:A89" si="3">A87</f>
        <v>La Estella 2 &amp; 3</v>
      </c>
      <c r="B88" s="4" t="s">
        <v>104</v>
      </c>
      <c r="C88" s="16" t="s">
        <v>220</v>
      </c>
      <c r="D88" s="18">
        <v>1</v>
      </c>
      <c r="E88" t="s">
        <v>221</v>
      </c>
      <c r="F88" s="17" t="s">
        <v>151</v>
      </c>
      <c r="G88" s="16" t="s">
        <v>0</v>
      </c>
      <c r="H88" s="25">
        <v>45945</v>
      </c>
    </row>
    <row r="89" spans="1:8" x14ac:dyDescent="0.35">
      <c r="A89" s="16" t="str">
        <f t="shared" si="3"/>
        <v>La Estella 2 &amp; 3</v>
      </c>
      <c r="B89" s="4" t="s">
        <v>42</v>
      </c>
      <c r="C89" s="16" t="s">
        <v>154</v>
      </c>
      <c r="D89" s="18">
        <v>0.5</v>
      </c>
      <c r="E89" s="16"/>
      <c r="F89" s="17"/>
      <c r="G89" s="16" t="s">
        <v>0</v>
      </c>
      <c r="H89" s="25">
        <v>45945</v>
      </c>
    </row>
    <row r="90" spans="1:8" x14ac:dyDescent="0.35">
      <c r="A90" s="16" t="str">
        <f>A89</f>
        <v>La Estella 2 &amp; 3</v>
      </c>
      <c r="B90" s="19" t="s">
        <v>43</v>
      </c>
      <c r="C90" s="16" t="s">
        <v>155</v>
      </c>
      <c r="D90" s="18">
        <v>0.25</v>
      </c>
      <c r="E90" t="s">
        <v>221</v>
      </c>
      <c r="F90" s="17" t="s">
        <v>151</v>
      </c>
      <c r="G90" s="16" t="s">
        <v>0</v>
      </c>
      <c r="H90" s="25">
        <v>45945</v>
      </c>
    </row>
    <row r="91" spans="1:8" x14ac:dyDescent="0.35">
      <c r="A91" s="16" t="str">
        <f>A89</f>
        <v>La Estella 2 &amp; 3</v>
      </c>
      <c r="B91" s="4" t="s">
        <v>105</v>
      </c>
      <c r="C91" s="16" t="s">
        <v>222</v>
      </c>
      <c r="D91" s="18">
        <v>1</v>
      </c>
      <c r="E91" s="10" t="s">
        <v>150</v>
      </c>
      <c r="F91" s="17" t="s">
        <v>151</v>
      </c>
      <c r="G91" s="16" t="s">
        <v>0</v>
      </c>
      <c r="H91" s="25">
        <v>45945</v>
      </c>
    </row>
    <row r="92" spans="1:8" x14ac:dyDescent="0.35">
      <c r="A92" s="16" t="s">
        <v>3</v>
      </c>
      <c r="B92" s="4" t="s">
        <v>92</v>
      </c>
      <c r="C92" s="16" t="s">
        <v>208</v>
      </c>
      <c r="D92" s="18">
        <v>0.5</v>
      </c>
      <c r="E92" s="4" t="s">
        <v>97</v>
      </c>
      <c r="F92" s="17" t="s">
        <v>151</v>
      </c>
      <c r="G92" s="16" t="s">
        <v>0</v>
      </c>
      <c r="H92" s="25">
        <v>45945</v>
      </c>
    </row>
    <row r="93" spans="1:8" x14ac:dyDescent="0.35">
      <c r="A93" s="16" t="str">
        <f>A92</f>
        <v>Farm Villa</v>
      </c>
      <c r="B93" s="4" t="s">
        <v>94</v>
      </c>
      <c r="C93" s="16" t="s">
        <v>210</v>
      </c>
      <c r="D93" s="18">
        <v>0.5</v>
      </c>
      <c r="E93" s="16"/>
      <c r="F93" s="17"/>
      <c r="G93" s="16" t="s">
        <v>0</v>
      </c>
      <c r="H93" s="25">
        <v>45945</v>
      </c>
    </row>
    <row r="94" spans="1:8" x14ac:dyDescent="0.35">
      <c r="A94" s="16" t="str">
        <f t="shared" ref="A94:A97" si="4">A93</f>
        <v>Farm Villa</v>
      </c>
      <c r="B94" s="4" t="s">
        <v>96</v>
      </c>
      <c r="C94" s="16" t="s">
        <v>212</v>
      </c>
      <c r="D94" s="18">
        <v>0.33200000000000002</v>
      </c>
      <c r="E94" s="16"/>
      <c r="F94" s="17"/>
      <c r="G94" s="16" t="s">
        <v>0</v>
      </c>
      <c r="H94" s="25">
        <v>45945</v>
      </c>
    </row>
    <row r="95" spans="1:8" x14ac:dyDescent="0.35">
      <c r="A95" s="16" t="str">
        <f t="shared" si="4"/>
        <v>Farm Villa</v>
      </c>
      <c r="B95" s="4" t="s">
        <v>97</v>
      </c>
      <c r="C95" s="16" t="s">
        <v>213</v>
      </c>
      <c r="D95" s="18">
        <v>0.33200000000000002</v>
      </c>
      <c r="E95" s="16"/>
      <c r="F95" s="17"/>
      <c r="G95" s="16" t="s">
        <v>0</v>
      </c>
      <c r="H95" s="25">
        <v>45945</v>
      </c>
    </row>
    <row r="96" spans="1:8" x14ac:dyDescent="0.35">
      <c r="A96" s="16" t="str">
        <f t="shared" si="4"/>
        <v>Farm Villa</v>
      </c>
      <c r="B96" s="4" t="s">
        <v>98</v>
      </c>
      <c r="C96" s="16" t="s">
        <v>214</v>
      </c>
      <c r="D96" s="18">
        <v>0.33200000000000002</v>
      </c>
      <c r="E96" s="4" t="s">
        <v>97</v>
      </c>
      <c r="F96" s="17" t="s">
        <v>151</v>
      </c>
      <c r="G96" s="16" t="s">
        <v>0</v>
      </c>
      <c r="H96" s="25">
        <v>45945</v>
      </c>
    </row>
    <row r="97" spans="1:8" x14ac:dyDescent="0.35">
      <c r="A97" s="16" t="str">
        <f t="shared" si="4"/>
        <v>Farm Villa</v>
      </c>
      <c r="B97" s="4" t="s">
        <v>99</v>
      </c>
      <c r="C97" s="16" t="s">
        <v>215</v>
      </c>
      <c r="D97" s="18">
        <v>0.5</v>
      </c>
      <c r="E97" s="16" t="s">
        <v>97</v>
      </c>
      <c r="F97" s="17" t="s">
        <v>151</v>
      </c>
      <c r="G97" s="16" t="s">
        <v>0</v>
      </c>
      <c r="H97" s="25">
        <v>45945</v>
      </c>
    </row>
    <row r="98" spans="1:8" x14ac:dyDescent="0.35">
      <c r="A98" s="16" t="s">
        <v>10</v>
      </c>
      <c r="B98" s="4" t="s">
        <v>85</v>
      </c>
      <c r="C98" s="16" t="s">
        <v>202</v>
      </c>
      <c r="D98" s="18">
        <v>0.25</v>
      </c>
      <c r="E98" s="16" t="s">
        <v>88</v>
      </c>
      <c r="F98" s="17" t="s">
        <v>178</v>
      </c>
      <c r="G98" s="16" t="s">
        <v>0</v>
      </c>
      <c r="H98" s="25">
        <v>45945</v>
      </c>
    </row>
    <row r="99" spans="1:8" x14ac:dyDescent="0.35">
      <c r="A99" s="16" t="str">
        <f>A98</f>
        <v>La Ermida</v>
      </c>
      <c r="B99" s="4" t="s">
        <v>86</v>
      </c>
      <c r="C99" s="16" t="s">
        <v>203</v>
      </c>
      <c r="D99" s="18">
        <v>0.25</v>
      </c>
      <c r="E99" s="16" t="s">
        <v>88</v>
      </c>
      <c r="F99" s="17" t="s">
        <v>178</v>
      </c>
      <c r="G99" s="16" t="s">
        <v>0</v>
      </c>
      <c r="H99" s="25">
        <v>45945</v>
      </c>
    </row>
    <row r="100" spans="1:8" x14ac:dyDescent="0.35">
      <c r="A100" s="16" t="str">
        <f t="shared" ref="A100:A102" si="5">A99</f>
        <v>La Ermida</v>
      </c>
      <c r="B100" s="4" t="s">
        <v>87</v>
      </c>
      <c r="C100" s="16" t="s">
        <v>204</v>
      </c>
      <c r="D100" s="18">
        <v>0.25</v>
      </c>
      <c r="E100" s="4" t="s">
        <v>88</v>
      </c>
      <c r="F100" s="17" t="s">
        <v>178</v>
      </c>
      <c r="G100" s="16" t="s">
        <v>0</v>
      </c>
      <c r="H100" s="25">
        <v>45945</v>
      </c>
    </row>
    <row r="101" spans="1:8" x14ac:dyDescent="0.35">
      <c r="A101" s="16" t="str">
        <f t="shared" si="5"/>
        <v>La Ermida</v>
      </c>
      <c r="B101" s="4" t="s">
        <v>88</v>
      </c>
      <c r="C101" s="16" t="s">
        <v>205</v>
      </c>
      <c r="D101" s="18">
        <v>0.25</v>
      </c>
      <c r="E101" s="4" t="s">
        <v>88</v>
      </c>
      <c r="F101" s="17" t="s">
        <v>178</v>
      </c>
      <c r="G101" s="16" t="s">
        <v>0</v>
      </c>
      <c r="H101" s="25">
        <v>45945</v>
      </c>
    </row>
    <row r="102" spans="1:8" x14ac:dyDescent="0.35">
      <c r="A102" s="16" t="str">
        <f t="shared" si="5"/>
        <v>La Ermida</v>
      </c>
      <c r="B102" s="10" t="s">
        <v>89</v>
      </c>
      <c r="C102" s="16" t="s">
        <v>167</v>
      </c>
      <c r="D102" s="18">
        <v>0.25</v>
      </c>
      <c r="E102" s="16"/>
      <c r="F102" s="17"/>
      <c r="G102" s="16" t="s">
        <v>0</v>
      </c>
      <c r="H102" s="25">
        <v>45945</v>
      </c>
    </row>
    <row r="103" spans="1:8" x14ac:dyDescent="0.35">
      <c r="A103" s="16" t="s">
        <v>21</v>
      </c>
      <c r="B103" s="4" t="s">
        <v>85</v>
      </c>
      <c r="C103" s="16" t="s">
        <v>202</v>
      </c>
      <c r="D103" s="18">
        <v>0.25</v>
      </c>
      <c r="E103" s="16" t="s">
        <v>88</v>
      </c>
      <c r="F103" s="17" t="s">
        <v>178</v>
      </c>
      <c r="G103" s="16" t="s">
        <v>0</v>
      </c>
      <c r="H103" s="25">
        <v>45945</v>
      </c>
    </row>
    <row r="104" spans="1:8" x14ac:dyDescent="0.35">
      <c r="A104" s="16" t="str">
        <f>A103</f>
        <v>La Ribera</v>
      </c>
      <c r="B104" s="4" t="s">
        <v>86</v>
      </c>
      <c r="C104" s="16" t="s">
        <v>203</v>
      </c>
      <c r="D104" s="18">
        <v>0.25</v>
      </c>
      <c r="E104" s="16" t="s">
        <v>88</v>
      </c>
      <c r="F104" s="17" t="s">
        <v>178</v>
      </c>
      <c r="G104" s="16" t="s">
        <v>0</v>
      </c>
      <c r="H104" s="25">
        <v>45945</v>
      </c>
    </row>
    <row r="105" spans="1:8" x14ac:dyDescent="0.35">
      <c r="A105" s="16" t="str">
        <f t="shared" ref="A105:A108" si="6">A104</f>
        <v>La Ribera</v>
      </c>
      <c r="B105" s="4" t="s">
        <v>87</v>
      </c>
      <c r="C105" s="16" t="s">
        <v>204</v>
      </c>
      <c r="D105" s="18">
        <v>0.25</v>
      </c>
      <c r="E105" s="4" t="s">
        <v>88</v>
      </c>
      <c r="F105" s="17" t="s">
        <v>178</v>
      </c>
      <c r="G105" s="16" t="s">
        <v>0</v>
      </c>
      <c r="H105" s="25">
        <v>45945</v>
      </c>
    </row>
    <row r="106" spans="1:8" x14ac:dyDescent="0.35">
      <c r="A106" s="16" t="str">
        <f t="shared" si="6"/>
        <v>La Ribera</v>
      </c>
      <c r="B106" s="4" t="s">
        <v>88</v>
      </c>
      <c r="C106" s="16" t="s">
        <v>205</v>
      </c>
      <c r="D106" s="18">
        <v>0.25</v>
      </c>
      <c r="E106" s="4" t="s">
        <v>88</v>
      </c>
      <c r="F106" s="17" t="s">
        <v>178</v>
      </c>
      <c r="G106" s="16" t="s">
        <v>0</v>
      </c>
      <c r="H106" s="25">
        <v>45945</v>
      </c>
    </row>
    <row r="107" spans="1:8" x14ac:dyDescent="0.35">
      <c r="A107" s="16" t="str">
        <f t="shared" si="6"/>
        <v>La Ribera</v>
      </c>
      <c r="B107" s="10" t="s">
        <v>89</v>
      </c>
      <c r="C107" s="16" t="s">
        <v>167</v>
      </c>
      <c r="D107" s="18">
        <v>0.25</v>
      </c>
      <c r="E107" s="16"/>
      <c r="F107" s="17"/>
      <c r="G107" s="16" t="s">
        <v>0</v>
      </c>
      <c r="H107" s="25">
        <v>45945</v>
      </c>
    </row>
    <row r="108" spans="1:8" x14ac:dyDescent="0.35">
      <c r="A108" s="16" t="str">
        <f t="shared" si="6"/>
        <v>La Ribera</v>
      </c>
      <c r="B108" s="4" t="s">
        <v>106</v>
      </c>
      <c r="C108" s="16" t="s">
        <v>223</v>
      </c>
      <c r="D108" s="18">
        <v>1</v>
      </c>
      <c r="E108" s="4" t="s">
        <v>88</v>
      </c>
      <c r="F108" s="17" t="s">
        <v>178</v>
      </c>
      <c r="G108" s="16" t="s">
        <v>0</v>
      </c>
      <c r="H108" s="25">
        <v>45945</v>
      </c>
    </row>
    <row r="109" spans="1:8" x14ac:dyDescent="0.35">
      <c r="A109" s="16" t="s">
        <v>30</v>
      </c>
      <c r="B109" s="4" t="s">
        <v>85</v>
      </c>
      <c r="C109" s="16" t="s">
        <v>202</v>
      </c>
      <c r="D109" s="18">
        <v>0.25</v>
      </c>
      <c r="E109" s="16" t="s">
        <v>88</v>
      </c>
      <c r="F109" s="17" t="s">
        <v>178</v>
      </c>
      <c r="G109" s="16" t="s">
        <v>0</v>
      </c>
      <c r="H109" s="25">
        <v>45945</v>
      </c>
    </row>
    <row r="110" spans="1:8" x14ac:dyDescent="0.35">
      <c r="A110" s="16" t="str">
        <f>A109</f>
        <v>Villa Da Careen</v>
      </c>
      <c r="B110" s="4" t="s">
        <v>86</v>
      </c>
      <c r="C110" s="16" t="s">
        <v>203</v>
      </c>
      <c r="D110" s="18">
        <v>0.25</v>
      </c>
      <c r="E110" s="16" t="s">
        <v>88</v>
      </c>
      <c r="F110" s="17" t="s">
        <v>178</v>
      </c>
      <c r="G110" s="16" t="s">
        <v>0</v>
      </c>
      <c r="H110" s="25">
        <v>45945</v>
      </c>
    </row>
    <row r="111" spans="1:8" x14ac:dyDescent="0.35">
      <c r="A111" s="16" t="str">
        <f t="shared" ref="A111:A113" si="7">A110</f>
        <v>Villa Da Careen</v>
      </c>
      <c r="B111" s="4" t="s">
        <v>87</v>
      </c>
      <c r="C111" s="16" t="s">
        <v>204</v>
      </c>
      <c r="D111" s="18">
        <v>0.25</v>
      </c>
      <c r="E111" s="4" t="s">
        <v>88</v>
      </c>
      <c r="F111" s="17" t="s">
        <v>178</v>
      </c>
      <c r="G111" s="16" t="s">
        <v>0</v>
      </c>
      <c r="H111" s="25">
        <v>45945</v>
      </c>
    </row>
    <row r="112" spans="1:8" x14ac:dyDescent="0.35">
      <c r="A112" s="16" t="str">
        <f t="shared" si="7"/>
        <v>Villa Da Careen</v>
      </c>
      <c r="B112" s="4" t="s">
        <v>88</v>
      </c>
      <c r="C112" s="16" t="s">
        <v>205</v>
      </c>
      <c r="D112" s="18">
        <v>0.25</v>
      </c>
      <c r="E112" s="4" t="s">
        <v>88</v>
      </c>
      <c r="F112" s="17" t="s">
        <v>178</v>
      </c>
      <c r="G112" s="16" t="s">
        <v>0</v>
      </c>
      <c r="H112" s="25">
        <v>45945</v>
      </c>
    </row>
    <row r="113" spans="1:8" x14ac:dyDescent="0.35">
      <c r="A113" s="16" t="str">
        <f t="shared" si="7"/>
        <v>Villa Da Careen</v>
      </c>
      <c r="B113" s="10" t="s">
        <v>89</v>
      </c>
      <c r="C113" s="16" t="s">
        <v>167</v>
      </c>
      <c r="D113" s="18">
        <v>0.25</v>
      </c>
      <c r="E113" s="16"/>
      <c r="F113" s="17"/>
      <c r="G113" s="16" t="s">
        <v>0</v>
      </c>
      <c r="H113" s="25">
        <v>45945</v>
      </c>
    </row>
    <row r="114" spans="1:8" x14ac:dyDescent="0.35">
      <c r="A114" s="16" t="s">
        <v>5</v>
      </c>
      <c r="B114" s="4" t="s">
        <v>107</v>
      </c>
      <c r="C114" s="16" t="s">
        <v>224</v>
      </c>
      <c r="D114" s="18">
        <v>1</v>
      </c>
      <c r="E114" s="16" t="s">
        <v>74</v>
      </c>
      <c r="F114" s="17" t="s">
        <v>151</v>
      </c>
      <c r="G114" s="16" t="s">
        <v>0</v>
      </c>
      <c r="H114" s="25">
        <v>45945</v>
      </c>
    </row>
    <row r="115" spans="1:8" x14ac:dyDescent="0.35">
      <c r="A115" s="16" t="str">
        <f>A114</f>
        <v>La Arvisa</v>
      </c>
      <c r="B115" s="4" t="s">
        <v>108</v>
      </c>
      <c r="C115" s="16" t="s">
        <v>225</v>
      </c>
      <c r="D115" s="18">
        <v>1</v>
      </c>
      <c r="E115" s="16" t="s">
        <v>74</v>
      </c>
      <c r="F115" s="17" t="s">
        <v>151</v>
      </c>
      <c r="G115" s="16" t="s">
        <v>0</v>
      </c>
      <c r="H115" s="25">
        <v>45945</v>
      </c>
    </row>
    <row r="116" spans="1:8" x14ac:dyDescent="0.35">
      <c r="A116" s="16" t="str">
        <f t="shared" ref="A116:A117" si="8">A115</f>
        <v>La Arvisa</v>
      </c>
      <c r="B116" s="4" t="s">
        <v>74</v>
      </c>
      <c r="C116" s="16" t="s">
        <v>191</v>
      </c>
      <c r="D116" s="18">
        <v>0.25</v>
      </c>
      <c r="E116" s="16" t="s">
        <v>74</v>
      </c>
      <c r="F116" s="17" t="s">
        <v>151</v>
      </c>
      <c r="G116" s="16" t="s">
        <v>0</v>
      </c>
      <c r="H116" s="25">
        <v>45945</v>
      </c>
    </row>
    <row r="117" spans="1:8" x14ac:dyDescent="0.35">
      <c r="A117" s="16" t="str">
        <f t="shared" si="8"/>
        <v>La Arvisa</v>
      </c>
      <c r="B117" s="4" t="s">
        <v>109</v>
      </c>
      <c r="C117" s="16" t="s">
        <v>167</v>
      </c>
      <c r="D117" s="18">
        <v>1</v>
      </c>
      <c r="E117" s="16"/>
      <c r="F117" s="17"/>
      <c r="G117" s="16" t="s">
        <v>0</v>
      </c>
      <c r="H117" s="25">
        <v>45945</v>
      </c>
    </row>
    <row r="118" spans="1:8" x14ac:dyDescent="0.35">
      <c r="A118" s="16" t="s">
        <v>16</v>
      </c>
      <c r="B118" s="4" t="s">
        <v>96</v>
      </c>
      <c r="C118" s="16" t="s">
        <v>212</v>
      </c>
      <c r="D118" s="18">
        <v>0.33200000000000002</v>
      </c>
      <c r="E118" s="16"/>
      <c r="F118" s="17"/>
      <c r="G118" s="16" t="s">
        <v>0</v>
      </c>
      <c r="H118" s="25">
        <v>45945</v>
      </c>
    </row>
    <row r="119" spans="1:8" x14ac:dyDescent="0.35">
      <c r="A119" s="16" t="str">
        <f>A118</f>
        <v>La Marcella</v>
      </c>
      <c r="B119" s="4" t="s">
        <v>97</v>
      </c>
      <c r="C119" s="16" t="s">
        <v>213</v>
      </c>
      <c r="D119" s="18">
        <v>0.33200000000000002</v>
      </c>
      <c r="E119" s="16"/>
      <c r="F119" s="17"/>
      <c r="G119" s="16" t="s">
        <v>0</v>
      </c>
      <c r="H119" s="25">
        <v>45945</v>
      </c>
    </row>
    <row r="120" spans="1:8" x14ac:dyDescent="0.35">
      <c r="A120" s="16" t="str">
        <f>A119</f>
        <v>La Marcella</v>
      </c>
      <c r="B120" s="4" t="s">
        <v>98</v>
      </c>
      <c r="C120" s="16" t="s">
        <v>214</v>
      </c>
      <c r="D120" s="18">
        <v>0.33200000000000002</v>
      </c>
      <c r="E120" s="4" t="s">
        <v>97</v>
      </c>
      <c r="F120" s="17" t="s">
        <v>151</v>
      </c>
      <c r="G120" s="16" t="s">
        <v>0</v>
      </c>
      <c r="H120" s="25">
        <v>45945</v>
      </c>
    </row>
    <row r="121" spans="1:8" x14ac:dyDescent="0.35">
      <c r="A121" s="16" t="str">
        <f>A120</f>
        <v>La Marcella</v>
      </c>
      <c r="B121" s="4" t="s">
        <v>110</v>
      </c>
      <c r="C121" s="16" t="s">
        <v>226</v>
      </c>
      <c r="D121" s="18">
        <v>1</v>
      </c>
      <c r="E121" s="4" t="s">
        <v>97</v>
      </c>
      <c r="F121" s="17" t="s">
        <v>151</v>
      </c>
      <c r="G121" s="16" t="s">
        <v>0</v>
      </c>
      <c r="H121" s="25">
        <v>45945</v>
      </c>
    </row>
    <row r="122" spans="1:8" x14ac:dyDescent="0.35">
      <c r="A122" s="16" t="s">
        <v>1</v>
      </c>
      <c r="B122" s="4" t="s">
        <v>111</v>
      </c>
      <c r="C122" s="16" t="s">
        <v>227</v>
      </c>
      <c r="D122" s="18">
        <v>1</v>
      </c>
      <c r="E122" s="16" t="s">
        <v>74</v>
      </c>
      <c r="F122" s="17" t="s">
        <v>151</v>
      </c>
      <c r="G122" s="16" t="s">
        <v>0</v>
      </c>
      <c r="H122" s="25">
        <v>45945</v>
      </c>
    </row>
    <row r="123" spans="1:8" x14ac:dyDescent="0.35">
      <c r="A123" s="16" t="str">
        <f>A122</f>
        <v>Barro</v>
      </c>
      <c r="B123" s="4" t="s">
        <v>112</v>
      </c>
      <c r="C123" s="16" t="s">
        <v>228</v>
      </c>
      <c r="D123" s="18">
        <v>1</v>
      </c>
      <c r="E123" s="16" t="s">
        <v>74</v>
      </c>
      <c r="F123" s="17" t="s">
        <v>151</v>
      </c>
      <c r="G123" s="16" t="s">
        <v>0</v>
      </c>
      <c r="H123" s="25">
        <v>45945</v>
      </c>
    </row>
    <row r="124" spans="1:8" x14ac:dyDescent="0.35">
      <c r="A124" s="16" t="str">
        <f>A123</f>
        <v>Barro</v>
      </c>
      <c r="B124" s="4" t="s">
        <v>74</v>
      </c>
      <c r="C124" s="16" t="s">
        <v>191</v>
      </c>
      <c r="D124" s="18">
        <v>0.25</v>
      </c>
      <c r="E124" s="16" t="s">
        <v>74</v>
      </c>
      <c r="F124" s="17" t="s">
        <v>151</v>
      </c>
      <c r="G124" s="16" t="s">
        <v>0</v>
      </c>
      <c r="H124" s="25">
        <v>45945</v>
      </c>
    </row>
    <row r="125" spans="1:8" x14ac:dyDescent="0.35">
      <c r="A125" s="16" t="s">
        <v>4</v>
      </c>
      <c r="B125" s="4" t="s">
        <v>113</v>
      </c>
      <c r="C125" s="16" t="s">
        <v>229</v>
      </c>
      <c r="D125" s="18">
        <v>1</v>
      </c>
      <c r="E125" s="4" t="s">
        <v>113</v>
      </c>
      <c r="F125" s="17"/>
      <c r="G125" s="16" t="s">
        <v>0</v>
      </c>
      <c r="H125" s="25">
        <v>45945</v>
      </c>
    </row>
    <row r="126" spans="1:8" x14ac:dyDescent="0.35">
      <c r="A126" s="16" t="str">
        <f>A125</f>
        <v>Kasauli Project</v>
      </c>
      <c r="B126" s="4" t="s">
        <v>114</v>
      </c>
      <c r="C126" s="16" t="s">
        <v>230</v>
      </c>
      <c r="D126" s="18">
        <v>1</v>
      </c>
      <c r="E126" s="4" t="s">
        <v>113</v>
      </c>
      <c r="F126" s="17"/>
      <c r="G126" s="16" t="s">
        <v>0</v>
      </c>
      <c r="H126" s="25">
        <v>45945</v>
      </c>
    </row>
    <row r="127" spans="1:8" x14ac:dyDescent="0.35">
      <c r="A127" s="16" t="str">
        <f>A126</f>
        <v>Kasauli Project</v>
      </c>
      <c r="B127" s="4" t="s">
        <v>115</v>
      </c>
      <c r="C127" s="16" t="s">
        <v>231</v>
      </c>
      <c r="D127" s="18">
        <v>1</v>
      </c>
      <c r="E127" s="4" t="s">
        <v>113</v>
      </c>
      <c r="F127" s="17"/>
      <c r="G127" s="16" t="s">
        <v>0</v>
      </c>
      <c r="H127" s="25">
        <v>45945</v>
      </c>
    </row>
    <row r="128" spans="1:8" x14ac:dyDescent="0.35">
      <c r="A128" s="16" t="s">
        <v>23</v>
      </c>
      <c r="B128" s="4" t="s">
        <v>116</v>
      </c>
      <c r="C128" s="16" t="s">
        <v>232</v>
      </c>
      <c r="D128" s="18">
        <v>1</v>
      </c>
      <c r="E128" t="s">
        <v>65</v>
      </c>
      <c r="F128" s="17" t="s">
        <v>178</v>
      </c>
      <c r="G128" s="16" t="s">
        <v>0</v>
      </c>
      <c r="H128" s="25">
        <v>45945</v>
      </c>
    </row>
    <row r="129" spans="1:8" x14ac:dyDescent="0.35">
      <c r="A129" s="16" t="str">
        <f>A128</f>
        <v>La Zacara</v>
      </c>
      <c r="B129" s="4" t="s">
        <v>117</v>
      </c>
      <c r="C129" s="16" t="s">
        <v>233</v>
      </c>
      <c r="D129" s="18">
        <v>1</v>
      </c>
      <c r="E129" t="s">
        <v>65</v>
      </c>
      <c r="F129" s="17" t="s">
        <v>178</v>
      </c>
      <c r="G129" s="16" t="s">
        <v>0</v>
      </c>
      <c r="H129" s="25">
        <v>45945</v>
      </c>
    </row>
    <row r="130" spans="1:8" x14ac:dyDescent="0.35">
      <c r="A130" s="16" t="str">
        <f>A129</f>
        <v>La Zacara</v>
      </c>
      <c r="B130" s="4" t="s">
        <v>65</v>
      </c>
      <c r="C130" s="16" t="s">
        <v>181</v>
      </c>
      <c r="D130" s="18">
        <v>0.5</v>
      </c>
      <c r="E130" t="s">
        <v>65</v>
      </c>
      <c r="F130" s="17" t="s">
        <v>178</v>
      </c>
      <c r="G130" s="16" t="s">
        <v>0</v>
      </c>
      <c r="H130" s="25">
        <v>45945</v>
      </c>
    </row>
    <row r="131" spans="1:8" x14ac:dyDescent="0.35">
      <c r="A131" s="16" t="str">
        <f>A130</f>
        <v>La Zacara</v>
      </c>
      <c r="B131" s="4" t="s">
        <v>118</v>
      </c>
      <c r="C131" s="16" t="s">
        <v>234</v>
      </c>
      <c r="D131" s="18">
        <v>1</v>
      </c>
      <c r="E131" s="10" t="s">
        <v>65</v>
      </c>
      <c r="F131" s="17" t="s">
        <v>178</v>
      </c>
      <c r="G131" s="16" t="s">
        <v>0</v>
      </c>
      <c r="H131" s="25">
        <v>45945</v>
      </c>
    </row>
    <row r="132" spans="1:8" x14ac:dyDescent="0.35">
      <c r="A132" s="16" t="str">
        <f>A131</f>
        <v>La Zacara</v>
      </c>
      <c r="B132" s="4" t="s">
        <v>119</v>
      </c>
      <c r="C132" s="16" t="s">
        <v>235</v>
      </c>
      <c r="D132" s="18">
        <v>1</v>
      </c>
      <c r="E132" s="10" t="s">
        <v>65</v>
      </c>
      <c r="F132" s="17" t="s">
        <v>178</v>
      </c>
      <c r="G132" s="16" t="s">
        <v>0</v>
      </c>
      <c r="H132" s="25">
        <v>45945</v>
      </c>
    </row>
    <row r="133" spans="1:8" x14ac:dyDescent="0.35">
      <c r="A133" s="16" t="s">
        <v>24</v>
      </c>
      <c r="B133" s="4" t="s">
        <v>120</v>
      </c>
      <c r="C133" s="16" t="s">
        <v>236</v>
      </c>
      <c r="D133" s="18">
        <v>0.33200000000000002</v>
      </c>
      <c r="E133" s="10"/>
      <c r="F133" s="17"/>
      <c r="G133" s="16" t="s">
        <v>0</v>
      </c>
      <c r="H133" s="25">
        <v>45945</v>
      </c>
    </row>
    <row r="134" spans="1:8" x14ac:dyDescent="0.35">
      <c r="A134" s="16" t="s">
        <v>24</v>
      </c>
      <c r="B134" s="4" t="s">
        <v>121</v>
      </c>
      <c r="C134" s="16" t="s">
        <v>237</v>
      </c>
      <c r="D134" s="18">
        <v>0.33200000000000002</v>
      </c>
      <c r="E134" s="10" t="s">
        <v>238</v>
      </c>
      <c r="F134" s="17" t="s">
        <v>178</v>
      </c>
      <c r="G134" s="16" t="s">
        <v>0</v>
      </c>
      <c r="H134" s="25">
        <v>45945</v>
      </c>
    </row>
    <row r="135" spans="1:8" x14ac:dyDescent="0.35">
      <c r="A135" s="16" t="s">
        <v>24</v>
      </c>
      <c r="B135" s="4" t="s">
        <v>122</v>
      </c>
      <c r="C135" s="16" t="s">
        <v>239</v>
      </c>
      <c r="D135" s="18">
        <v>0.33200000000000002</v>
      </c>
      <c r="E135" s="10" t="s">
        <v>51</v>
      </c>
      <c r="F135" s="17" t="s">
        <v>151</v>
      </c>
      <c r="G135" s="16" t="s">
        <v>0</v>
      </c>
      <c r="H135" s="25">
        <v>45945</v>
      </c>
    </row>
    <row r="136" spans="1:8" x14ac:dyDescent="0.35">
      <c r="A136" s="16" t="s">
        <v>24</v>
      </c>
      <c r="B136" s="4" t="s">
        <v>123</v>
      </c>
      <c r="C136" s="16" t="s">
        <v>240</v>
      </c>
      <c r="D136" s="18">
        <v>0.33200000000000002</v>
      </c>
      <c r="E136" s="10"/>
      <c r="F136" s="17"/>
      <c r="G136" s="16" t="s">
        <v>0</v>
      </c>
      <c r="H136" s="25">
        <v>45945</v>
      </c>
    </row>
    <row r="137" spans="1:8" x14ac:dyDescent="0.35">
      <c r="A137" s="16" t="s">
        <v>28</v>
      </c>
      <c r="B137" s="4" t="s">
        <v>120</v>
      </c>
      <c r="C137" s="16" t="s">
        <v>236</v>
      </c>
      <c r="D137" s="18">
        <v>0.33200000000000002</v>
      </c>
      <c r="E137" s="10" t="s">
        <v>238</v>
      </c>
      <c r="F137" s="17" t="s">
        <v>178</v>
      </c>
      <c r="G137" s="16" t="s">
        <v>0</v>
      </c>
      <c r="H137" s="25">
        <v>45945</v>
      </c>
    </row>
    <row r="138" spans="1:8" x14ac:dyDescent="0.35">
      <c r="A138" s="16" t="s">
        <v>28</v>
      </c>
      <c r="B138" s="4" t="s">
        <v>121</v>
      </c>
      <c r="C138" s="16" t="s">
        <v>237</v>
      </c>
      <c r="D138" s="18">
        <v>0.33200000000000002</v>
      </c>
      <c r="E138" s="10" t="s">
        <v>238</v>
      </c>
      <c r="F138" s="17" t="s">
        <v>178</v>
      </c>
      <c r="G138" s="16" t="s">
        <v>0</v>
      </c>
      <c r="H138" s="25">
        <v>45945</v>
      </c>
    </row>
    <row r="139" spans="1:8" x14ac:dyDescent="0.35">
      <c r="A139" s="16" t="s">
        <v>28</v>
      </c>
      <c r="B139" s="4" t="s">
        <v>122</v>
      </c>
      <c r="C139" s="16" t="s">
        <v>239</v>
      </c>
      <c r="D139" s="18">
        <v>0.33200000000000002</v>
      </c>
      <c r="E139" s="10" t="s">
        <v>51</v>
      </c>
      <c r="F139" s="17" t="s">
        <v>151</v>
      </c>
      <c r="G139" s="16" t="s">
        <v>0</v>
      </c>
      <c r="H139" s="25">
        <v>45945</v>
      </c>
    </row>
    <row r="140" spans="1:8" x14ac:dyDescent="0.35">
      <c r="A140" s="16" t="s">
        <v>28</v>
      </c>
      <c r="B140" s="4" t="s">
        <v>123</v>
      </c>
      <c r="C140" s="16" t="s">
        <v>240</v>
      </c>
      <c r="D140" s="18">
        <v>0.33200000000000002</v>
      </c>
      <c r="E140" s="10"/>
      <c r="F140" s="17"/>
      <c r="G140" s="16" t="s">
        <v>0</v>
      </c>
      <c r="H140" s="25">
        <v>45945</v>
      </c>
    </row>
    <row r="141" spans="1:8" x14ac:dyDescent="0.35">
      <c r="A141" s="16" t="s">
        <v>26</v>
      </c>
      <c r="B141" s="4" t="s">
        <v>120</v>
      </c>
      <c r="C141" s="16" t="s">
        <v>236</v>
      </c>
      <c r="D141" s="18">
        <v>0.33200000000000002</v>
      </c>
      <c r="E141" s="10"/>
      <c r="F141" s="17"/>
      <c r="G141" s="16" t="s">
        <v>0</v>
      </c>
      <c r="H141" s="25">
        <v>45945</v>
      </c>
    </row>
    <row r="142" spans="1:8" x14ac:dyDescent="0.35">
      <c r="A142" s="16" t="str">
        <f>A141</f>
        <v>Passaro</v>
      </c>
      <c r="B142" s="4" t="s">
        <v>121</v>
      </c>
      <c r="C142" s="16" t="s">
        <v>237</v>
      </c>
      <c r="D142" s="18">
        <v>0.33200000000000002</v>
      </c>
      <c r="E142" s="10" t="s">
        <v>238</v>
      </c>
      <c r="F142" s="17" t="s">
        <v>178</v>
      </c>
      <c r="G142" s="16" t="s">
        <v>0</v>
      </c>
      <c r="H142" s="25">
        <v>45945</v>
      </c>
    </row>
    <row r="143" spans="1:8" x14ac:dyDescent="0.35">
      <c r="A143" s="16" t="str">
        <f>A142</f>
        <v>Passaro</v>
      </c>
      <c r="B143" s="4" t="s">
        <v>122</v>
      </c>
      <c r="C143" s="16" t="s">
        <v>239</v>
      </c>
      <c r="D143" s="18">
        <v>0.33200000000000002</v>
      </c>
      <c r="E143" s="10" t="s">
        <v>51</v>
      </c>
      <c r="F143" s="17" t="s">
        <v>151</v>
      </c>
      <c r="G143" s="16" t="s">
        <v>0</v>
      </c>
      <c r="H143" s="25">
        <v>45945</v>
      </c>
    </row>
    <row r="144" spans="1:8" x14ac:dyDescent="0.35">
      <c r="A144" s="16" t="str">
        <f>A143</f>
        <v>Passaro</v>
      </c>
      <c r="B144" s="4" t="s">
        <v>123</v>
      </c>
      <c r="C144" s="16" t="s">
        <v>240</v>
      </c>
      <c r="D144" s="18">
        <v>0.33200000000000002</v>
      </c>
      <c r="E144" s="16"/>
      <c r="F144" s="17"/>
      <c r="G144" s="16" t="s">
        <v>0</v>
      </c>
      <c r="H144" s="25">
        <v>45945</v>
      </c>
    </row>
    <row r="145" spans="1:8" x14ac:dyDescent="0.35">
      <c r="A145" s="16" t="s">
        <v>29</v>
      </c>
      <c r="B145" s="4" t="s">
        <v>124</v>
      </c>
      <c r="C145" s="16" t="s">
        <v>241</v>
      </c>
      <c r="D145" s="18">
        <v>1</v>
      </c>
      <c r="E145" s="16"/>
      <c r="F145" s="17"/>
      <c r="G145" s="16" t="s">
        <v>0</v>
      </c>
      <c r="H145" s="25">
        <v>45945</v>
      </c>
    </row>
    <row r="146" spans="1:8" x14ac:dyDescent="0.35">
      <c r="A146" s="16" t="s">
        <v>29</v>
      </c>
      <c r="B146" s="4" t="s">
        <v>125</v>
      </c>
      <c r="C146" s="16" t="s">
        <v>242</v>
      </c>
      <c r="D146" s="18">
        <v>1</v>
      </c>
      <c r="E146" s="16"/>
      <c r="F146" s="17"/>
      <c r="G146" s="16" t="s">
        <v>0</v>
      </c>
      <c r="H146" s="25">
        <v>45945</v>
      </c>
    </row>
    <row r="147" spans="1:8" x14ac:dyDescent="0.35">
      <c r="A147" s="16" t="s">
        <v>25</v>
      </c>
      <c r="B147" s="30" t="s">
        <v>134</v>
      </c>
      <c r="C147" s="16" t="s">
        <v>243</v>
      </c>
      <c r="D147" s="18">
        <v>1</v>
      </c>
      <c r="E147" s="16"/>
      <c r="F147" s="17"/>
      <c r="G147" s="16" t="s">
        <v>0</v>
      </c>
      <c r="H147" s="25">
        <v>45945</v>
      </c>
    </row>
    <row r="148" spans="1:8" x14ac:dyDescent="0.35">
      <c r="A148" s="16" t="str">
        <f>A147</f>
        <v>Other Current Projects</v>
      </c>
      <c r="B148" s="4" t="s">
        <v>126</v>
      </c>
      <c r="C148" s="16" t="s">
        <v>244</v>
      </c>
      <c r="D148" s="18">
        <v>1</v>
      </c>
      <c r="E148" t="s">
        <v>245</v>
      </c>
      <c r="F148" s="17" t="s">
        <v>151</v>
      </c>
      <c r="G148" s="16" t="s">
        <v>0</v>
      </c>
      <c r="H148" s="25">
        <v>45945</v>
      </c>
    </row>
    <row r="149" spans="1:8" x14ac:dyDescent="0.35">
      <c r="A149" s="16" t="str">
        <f>A148</f>
        <v>Other Current Projects</v>
      </c>
      <c r="B149" s="4" t="s">
        <v>127</v>
      </c>
      <c r="C149" s="16" t="s">
        <v>246</v>
      </c>
      <c r="D149" s="18">
        <v>1</v>
      </c>
      <c r="E149" s="16" t="s">
        <v>247</v>
      </c>
      <c r="F149" s="17" t="s">
        <v>151</v>
      </c>
      <c r="G149" s="16" t="s">
        <v>0</v>
      </c>
      <c r="H149" s="25">
        <v>45945</v>
      </c>
    </row>
    <row r="150" spans="1:8" x14ac:dyDescent="0.35">
      <c r="A150" s="16" t="s">
        <v>142</v>
      </c>
      <c r="B150" s="4" t="s">
        <v>128</v>
      </c>
      <c r="C150" s="16" t="s">
        <v>248</v>
      </c>
      <c r="D150" s="18">
        <v>1</v>
      </c>
      <c r="E150" s="16"/>
      <c r="F150" s="17"/>
      <c r="G150" s="16" t="s">
        <v>0</v>
      </c>
      <c r="H150" s="25">
        <v>45945</v>
      </c>
    </row>
    <row r="151" spans="1:8" x14ac:dyDescent="0.35">
      <c r="A151" s="16" t="str">
        <f>A150</f>
        <v>Misc.</v>
      </c>
      <c r="B151" s="4" t="s">
        <v>129</v>
      </c>
      <c r="C151" s="16" t="s">
        <v>249</v>
      </c>
      <c r="D151" s="18">
        <v>1</v>
      </c>
      <c r="E151" s="16"/>
      <c r="F151" s="17"/>
      <c r="G151" s="16" t="s">
        <v>0</v>
      </c>
      <c r="H151" s="25">
        <v>45945</v>
      </c>
    </row>
    <row r="152" spans="1:8" x14ac:dyDescent="0.35">
      <c r="A152" s="16" t="str">
        <f>A151</f>
        <v>Misc.</v>
      </c>
      <c r="B152" s="4" t="s">
        <v>130</v>
      </c>
      <c r="C152" s="16" t="s">
        <v>250</v>
      </c>
      <c r="D152" s="18">
        <v>1</v>
      </c>
      <c r="E152" t="s">
        <v>251</v>
      </c>
      <c r="F152" s="17" t="s">
        <v>151</v>
      </c>
      <c r="G152" s="16" t="s">
        <v>0</v>
      </c>
      <c r="H152" s="25">
        <v>45945</v>
      </c>
    </row>
    <row r="153" spans="1:8" x14ac:dyDescent="0.35">
      <c r="A153" s="16" t="s">
        <v>27</v>
      </c>
      <c r="B153" s="31" t="s">
        <v>135</v>
      </c>
      <c r="C153" s="16" t="s">
        <v>252</v>
      </c>
      <c r="D153" s="18">
        <v>1</v>
      </c>
      <c r="E153" s="4" t="s">
        <v>97</v>
      </c>
      <c r="F153" s="17" t="s">
        <v>151</v>
      </c>
      <c r="G153" s="16" t="s">
        <v>0</v>
      </c>
      <c r="H153" s="25">
        <v>45945</v>
      </c>
    </row>
    <row r="154" spans="1:8" x14ac:dyDescent="0.35">
      <c r="A154" s="16" t="s">
        <v>27</v>
      </c>
      <c r="B154" s="31" t="s">
        <v>136</v>
      </c>
      <c r="C154" s="16" t="s">
        <v>253</v>
      </c>
      <c r="D154" s="18">
        <v>1</v>
      </c>
      <c r="E154" s="16" t="s">
        <v>150</v>
      </c>
      <c r="F154" s="17" t="s">
        <v>151</v>
      </c>
      <c r="G154" s="16" t="s">
        <v>0</v>
      </c>
      <c r="H154" s="25">
        <v>45945</v>
      </c>
    </row>
  </sheetData>
  <autoFilter ref="A1:H154" xr:uid="{CC554A49-F86E-464C-A749-7248F45B333B}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7D651-9059-45C1-AB7D-75BF53B49056}">
  <dimension ref="A1:H105"/>
  <sheetViews>
    <sheetView workbookViewId="0">
      <selection activeCell="B2" sqref="B2"/>
    </sheetView>
  </sheetViews>
  <sheetFormatPr defaultRowHeight="14.5" x14ac:dyDescent="0.35"/>
  <cols>
    <col min="1" max="1" width="13.26953125" bestFit="1" customWidth="1"/>
    <col min="2" max="2" width="43.7265625" bestFit="1" customWidth="1"/>
    <col min="3" max="3" width="14.1796875" bestFit="1" customWidth="1"/>
    <col min="4" max="4" width="15.54296875" bestFit="1" customWidth="1"/>
    <col min="5" max="5" width="20.1796875" bestFit="1" customWidth="1"/>
    <col min="6" max="6" width="26.453125" customWidth="1"/>
    <col min="7" max="7" width="24.54296875" bestFit="1" customWidth="1"/>
    <col min="8" max="8" width="36.7265625" bestFit="1" customWidth="1"/>
    <col min="9" max="9" width="6.26953125" bestFit="1" customWidth="1"/>
  </cols>
  <sheetData>
    <row r="1" spans="1:8" s="9" customFormat="1" x14ac:dyDescent="0.35">
      <c r="A1" s="39" t="s">
        <v>266</v>
      </c>
      <c r="B1" s="39" t="s">
        <v>255</v>
      </c>
      <c r="C1" s="39" t="s">
        <v>267</v>
      </c>
      <c r="D1" s="39" t="s">
        <v>268</v>
      </c>
      <c r="E1" s="39" t="s">
        <v>254</v>
      </c>
      <c r="F1" s="39" t="s">
        <v>269</v>
      </c>
      <c r="G1" s="39" t="s">
        <v>270</v>
      </c>
      <c r="H1" s="39" t="s">
        <v>335</v>
      </c>
    </row>
    <row r="2" spans="1:8" x14ac:dyDescent="0.35">
      <c r="A2" s="21" t="s">
        <v>186</v>
      </c>
      <c r="B2" s="21" t="s">
        <v>70</v>
      </c>
      <c r="C2" s="22">
        <v>45161</v>
      </c>
      <c r="D2" s="21" t="s">
        <v>271</v>
      </c>
      <c r="E2" s="21" t="s">
        <v>272</v>
      </c>
      <c r="F2" s="8" t="s">
        <v>273</v>
      </c>
      <c r="G2" s="8" t="s">
        <v>0</v>
      </c>
      <c r="H2" s="8" t="s">
        <v>337</v>
      </c>
    </row>
    <row r="3" spans="1:8" x14ac:dyDescent="0.35">
      <c r="A3" s="21" t="s">
        <v>200</v>
      </c>
      <c r="B3" s="21" t="s">
        <v>83</v>
      </c>
      <c r="C3" s="22">
        <v>44835</v>
      </c>
      <c r="D3" s="21" t="s">
        <v>271</v>
      </c>
      <c r="E3" s="21" t="s">
        <v>272</v>
      </c>
      <c r="F3" s="8" t="s">
        <v>274</v>
      </c>
      <c r="G3" s="8" t="s">
        <v>0</v>
      </c>
      <c r="H3" s="8" t="s">
        <v>337</v>
      </c>
    </row>
    <row r="4" spans="1:8" x14ac:dyDescent="0.35">
      <c r="A4" s="21" t="s">
        <v>179</v>
      </c>
      <c r="B4" s="21" t="s">
        <v>63</v>
      </c>
      <c r="C4" s="22">
        <v>43535</v>
      </c>
      <c r="D4" s="21" t="s">
        <v>271</v>
      </c>
      <c r="E4" s="21" t="s">
        <v>272</v>
      </c>
      <c r="F4" s="8" t="s">
        <v>274</v>
      </c>
      <c r="G4" s="8" t="s">
        <v>0</v>
      </c>
      <c r="H4" s="8" t="s">
        <v>337</v>
      </c>
    </row>
    <row r="5" spans="1:8" x14ac:dyDescent="0.35">
      <c r="A5" s="21" t="s">
        <v>235</v>
      </c>
      <c r="B5" s="21" t="s">
        <v>119</v>
      </c>
      <c r="C5" s="22">
        <v>44539</v>
      </c>
      <c r="D5" s="21" t="s">
        <v>271</v>
      </c>
      <c r="E5" s="21" t="s">
        <v>272</v>
      </c>
      <c r="F5" s="8" t="s">
        <v>276</v>
      </c>
      <c r="G5" s="8" t="s">
        <v>0</v>
      </c>
      <c r="H5" s="8" t="s">
        <v>337</v>
      </c>
    </row>
    <row r="6" spans="1:8" x14ac:dyDescent="0.35">
      <c r="A6" s="21" t="s">
        <v>204</v>
      </c>
      <c r="B6" s="21" t="s">
        <v>87</v>
      </c>
      <c r="C6" s="22">
        <v>45470</v>
      </c>
      <c r="D6" s="21" t="s">
        <v>271</v>
      </c>
      <c r="E6" s="21" t="s">
        <v>272</v>
      </c>
      <c r="F6" s="8" t="s">
        <v>273</v>
      </c>
      <c r="G6" s="8" t="s">
        <v>0</v>
      </c>
      <c r="H6" s="8" t="s">
        <v>337</v>
      </c>
    </row>
    <row r="7" spans="1:8" x14ac:dyDescent="0.35">
      <c r="A7" s="21" t="s">
        <v>193</v>
      </c>
      <c r="B7" s="21" t="s">
        <v>76</v>
      </c>
      <c r="C7" s="22">
        <v>45173</v>
      </c>
      <c r="D7" s="21" t="s">
        <v>271</v>
      </c>
      <c r="E7" s="21" t="s">
        <v>272</v>
      </c>
      <c r="F7" s="8" t="s">
        <v>277</v>
      </c>
      <c r="G7" s="8" t="s">
        <v>0</v>
      </c>
      <c r="H7" s="8" t="s">
        <v>337</v>
      </c>
    </row>
    <row r="8" spans="1:8" x14ac:dyDescent="0.35">
      <c r="A8" s="21" t="s">
        <v>209</v>
      </c>
      <c r="B8" s="21" t="s">
        <v>93</v>
      </c>
      <c r="C8" s="22">
        <v>45096</v>
      </c>
      <c r="D8" s="21" t="s">
        <v>271</v>
      </c>
      <c r="E8" s="21" t="s">
        <v>272</v>
      </c>
      <c r="F8" s="8" t="s">
        <v>279</v>
      </c>
      <c r="G8" s="8" t="s">
        <v>0</v>
      </c>
      <c r="H8" s="8" t="s">
        <v>337</v>
      </c>
    </row>
    <row r="9" spans="1:8" x14ac:dyDescent="0.35">
      <c r="A9" s="21" t="s">
        <v>210</v>
      </c>
      <c r="B9" s="21" t="s">
        <v>94</v>
      </c>
      <c r="C9" s="22">
        <v>45357</v>
      </c>
      <c r="D9" s="21" t="s">
        <v>271</v>
      </c>
      <c r="E9" s="21" t="s">
        <v>272</v>
      </c>
      <c r="F9" s="8" t="s">
        <v>280</v>
      </c>
      <c r="G9" s="8" t="s">
        <v>0</v>
      </c>
      <c r="H9" s="8" t="s">
        <v>337</v>
      </c>
    </row>
    <row r="10" spans="1:8" x14ac:dyDescent="0.35">
      <c r="A10" s="21" t="s">
        <v>217</v>
      </c>
      <c r="B10" s="21" t="s">
        <v>101</v>
      </c>
      <c r="C10" s="22">
        <v>45646</v>
      </c>
      <c r="D10" s="21" t="s">
        <v>271</v>
      </c>
      <c r="E10" s="21" t="s">
        <v>272</v>
      </c>
      <c r="F10" s="8" t="s">
        <v>280</v>
      </c>
      <c r="G10" s="8" t="s">
        <v>0</v>
      </c>
      <c r="H10" s="8" t="s">
        <v>337</v>
      </c>
    </row>
    <row r="11" spans="1:8" x14ac:dyDescent="0.35">
      <c r="A11" s="21" t="s">
        <v>188</v>
      </c>
      <c r="B11" s="21" t="s">
        <v>71</v>
      </c>
      <c r="C11" s="22">
        <v>45699</v>
      </c>
      <c r="D11" s="21" t="s">
        <v>271</v>
      </c>
      <c r="E11" s="21" t="s">
        <v>272</v>
      </c>
      <c r="F11" s="8" t="s">
        <v>281</v>
      </c>
      <c r="G11" s="8" t="s">
        <v>0</v>
      </c>
      <c r="H11" s="8" t="s">
        <v>337</v>
      </c>
    </row>
    <row r="12" spans="1:8" x14ac:dyDescent="0.35">
      <c r="A12" s="21" t="s">
        <v>205</v>
      </c>
      <c r="B12" s="21" t="s">
        <v>88</v>
      </c>
      <c r="C12" s="22">
        <v>45702</v>
      </c>
      <c r="D12" s="21" t="s">
        <v>271</v>
      </c>
      <c r="E12" s="21" t="s">
        <v>272</v>
      </c>
      <c r="F12" s="8" t="s">
        <v>282</v>
      </c>
      <c r="G12" s="8" t="s">
        <v>0</v>
      </c>
      <c r="H12" s="8" t="s">
        <v>337</v>
      </c>
    </row>
    <row r="13" spans="1:8" x14ac:dyDescent="0.35">
      <c r="A13" s="21" t="s">
        <v>239</v>
      </c>
      <c r="B13" s="21" t="s">
        <v>122</v>
      </c>
      <c r="C13" s="22">
        <v>45705</v>
      </c>
      <c r="D13" s="21" t="s">
        <v>271</v>
      </c>
      <c r="E13" s="21" t="s">
        <v>272</v>
      </c>
      <c r="F13" s="8" t="s">
        <v>280</v>
      </c>
      <c r="G13" s="8" t="s">
        <v>0</v>
      </c>
      <c r="H13" s="8" t="s">
        <v>337</v>
      </c>
    </row>
    <row r="14" spans="1:8" x14ac:dyDescent="0.35">
      <c r="A14" s="21" t="s">
        <v>211</v>
      </c>
      <c r="B14" s="23" t="s">
        <v>95</v>
      </c>
      <c r="C14" s="22">
        <v>42663</v>
      </c>
      <c r="D14" s="21" t="s">
        <v>271</v>
      </c>
      <c r="E14" s="21" t="s">
        <v>272</v>
      </c>
      <c r="F14" s="8" t="s">
        <v>286</v>
      </c>
      <c r="G14" s="8" t="s">
        <v>0</v>
      </c>
      <c r="H14" s="8" t="s">
        <v>337</v>
      </c>
    </row>
    <row r="15" spans="1:8" x14ac:dyDescent="0.35">
      <c r="A15" s="21" t="s">
        <v>190</v>
      </c>
      <c r="B15" s="21" t="s">
        <v>73</v>
      </c>
      <c r="C15" s="22">
        <v>44242</v>
      </c>
      <c r="D15" s="21" t="s">
        <v>271</v>
      </c>
      <c r="E15" s="21" t="s">
        <v>272</v>
      </c>
      <c r="F15" s="8" t="s">
        <v>287</v>
      </c>
      <c r="G15" s="8" t="s">
        <v>0</v>
      </c>
      <c r="H15" s="8" t="s">
        <v>337</v>
      </c>
    </row>
    <row r="16" spans="1:8" x14ac:dyDescent="0.35">
      <c r="A16" s="21" t="s">
        <v>230</v>
      </c>
      <c r="B16" s="21" t="s">
        <v>114</v>
      </c>
      <c r="C16" s="22">
        <v>45630</v>
      </c>
      <c r="D16" s="21" t="s">
        <v>271</v>
      </c>
      <c r="E16" s="21" t="s">
        <v>272</v>
      </c>
      <c r="F16" s="8" t="s">
        <v>288</v>
      </c>
      <c r="G16" s="8" t="s">
        <v>0</v>
      </c>
      <c r="H16" s="8" t="s">
        <v>337</v>
      </c>
    </row>
    <row r="17" spans="1:8" x14ac:dyDescent="0.35">
      <c r="A17" s="21" t="s">
        <v>184</v>
      </c>
      <c r="B17" s="21" t="s">
        <v>68</v>
      </c>
      <c r="C17" s="22">
        <v>45293</v>
      </c>
      <c r="D17" s="21" t="s">
        <v>271</v>
      </c>
      <c r="E17" s="21" t="s">
        <v>272</v>
      </c>
      <c r="F17" s="8" t="s">
        <v>280</v>
      </c>
      <c r="G17" s="8" t="s">
        <v>0</v>
      </c>
      <c r="H17" s="8" t="s">
        <v>337</v>
      </c>
    </row>
    <row r="18" spans="1:8" x14ac:dyDescent="0.35">
      <c r="A18" s="23" t="s">
        <v>194</v>
      </c>
      <c r="B18" s="24" t="s">
        <v>77</v>
      </c>
      <c r="C18" s="22"/>
      <c r="D18" s="21" t="s">
        <v>289</v>
      </c>
      <c r="E18" s="21" t="s">
        <v>272</v>
      </c>
      <c r="F18" s="15" t="s">
        <v>290</v>
      </c>
      <c r="G18" s="8" t="s">
        <v>0</v>
      </c>
      <c r="H18" s="8" t="s">
        <v>336</v>
      </c>
    </row>
    <row r="19" spans="1:8" x14ac:dyDescent="0.35">
      <c r="A19" s="23" t="s">
        <v>194</v>
      </c>
      <c r="B19" s="24" t="s">
        <v>265</v>
      </c>
      <c r="C19" s="22"/>
      <c r="D19" s="21" t="s">
        <v>289</v>
      </c>
      <c r="E19" s="21" t="s">
        <v>272</v>
      </c>
      <c r="F19" s="15" t="s">
        <v>290</v>
      </c>
      <c r="G19" s="8" t="s">
        <v>0</v>
      </c>
      <c r="H19" s="8" t="s">
        <v>337</v>
      </c>
    </row>
    <row r="20" spans="1:8" x14ac:dyDescent="0.35">
      <c r="A20" s="21" t="s">
        <v>149</v>
      </c>
      <c r="B20" s="21" t="s">
        <v>38</v>
      </c>
      <c r="C20" s="22">
        <v>45323</v>
      </c>
      <c r="D20" s="21" t="s">
        <v>271</v>
      </c>
      <c r="E20" s="21" t="s">
        <v>272</v>
      </c>
      <c r="F20" s="8" t="s">
        <v>291</v>
      </c>
      <c r="G20" s="8" t="s">
        <v>0</v>
      </c>
      <c r="H20" s="8" t="s">
        <v>337</v>
      </c>
    </row>
    <row r="21" spans="1:8" x14ac:dyDescent="0.35">
      <c r="A21" s="21" t="s">
        <v>292</v>
      </c>
      <c r="B21" s="21" t="s">
        <v>257</v>
      </c>
      <c r="C21" s="22">
        <v>44610</v>
      </c>
      <c r="D21" s="21" t="s">
        <v>271</v>
      </c>
      <c r="E21" s="21" t="s">
        <v>272</v>
      </c>
      <c r="F21" s="8" t="s">
        <v>278</v>
      </c>
      <c r="G21" s="8" t="s">
        <v>293</v>
      </c>
      <c r="H21" s="8" t="s">
        <v>337</v>
      </c>
    </row>
    <row r="22" spans="1:8" x14ac:dyDescent="0.35">
      <c r="A22" s="23" t="s">
        <v>194</v>
      </c>
      <c r="B22" s="24" t="s">
        <v>78</v>
      </c>
      <c r="C22" s="22"/>
      <c r="D22" s="21" t="s">
        <v>289</v>
      </c>
      <c r="E22" s="21" t="s">
        <v>272</v>
      </c>
      <c r="F22" s="15" t="s">
        <v>290</v>
      </c>
      <c r="G22" s="8" t="s">
        <v>0</v>
      </c>
      <c r="H22" s="8" t="s">
        <v>336</v>
      </c>
    </row>
    <row r="23" spans="1:8" x14ac:dyDescent="0.35">
      <c r="A23" s="21" t="s">
        <v>243</v>
      </c>
      <c r="B23" s="21" t="s">
        <v>134</v>
      </c>
      <c r="C23" s="22">
        <v>44296</v>
      </c>
      <c r="D23" s="21" t="s">
        <v>271</v>
      </c>
      <c r="E23" s="21" t="s">
        <v>272</v>
      </c>
      <c r="F23" s="8" t="s">
        <v>285</v>
      </c>
      <c r="G23" s="8" t="s">
        <v>0</v>
      </c>
      <c r="H23" s="8" t="s">
        <v>337</v>
      </c>
    </row>
    <row r="24" spans="1:8" x14ac:dyDescent="0.35">
      <c r="A24" s="21" t="s">
        <v>222</v>
      </c>
      <c r="B24" s="21" t="s">
        <v>105</v>
      </c>
      <c r="C24" s="22">
        <v>45527</v>
      </c>
      <c r="D24" s="21" t="s">
        <v>271</v>
      </c>
      <c r="E24" s="21" t="s">
        <v>272</v>
      </c>
      <c r="F24" s="8" t="s">
        <v>273</v>
      </c>
      <c r="G24" s="8" t="s">
        <v>0</v>
      </c>
      <c r="H24" s="8" t="s">
        <v>337</v>
      </c>
    </row>
    <row r="25" spans="1:8" x14ac:dyDescent="0.35">
      <c r="A25" s="21" t="s">
        <v>154</v>
      </c>
      <c r="B25" s="21" t="s">
        <v>42</v>
      </c>
      <c r="C25" s="22">
        <v>43101</v>
      </c>
      <c r="D25" s="21" t="s">
        <v>271</v>
      </c>
      <c r="E25" s="21" t="s">
        <v>272</v>
      </c>
      <c r="F25" s="8" t="s">
        <v>284</v>
      </c>
      <c r="G25" s="8" t="s">
        <v>294</v>
      </c>
      <c r="H25" s="8" t="s">
        <v>336</v>
      </c>
    </row>
    <row r="26" spans="1:8" x14ac:dyDescent="0.35">
      <c r="A26" s="21" t="s">
        <v>295</v>
      </c>
      <c r="B26" s="21" t="s">
        <v>256</v>
      </c>
      <c r="C26" s="22">
        <v>44580</v>
      </c>
      <c r="D26" s="21" t="s">
        <v>271</v>
      </c>
      <c r="E26" s="21" t="s">
        <v>272</v>
      </c>
      <c r="F26" s="8" t="s">
        <v>274</v>
      </c>
      <c r="G26" s="8" t="s">
        <v>293</v>
      </c>
      <c r="H26" s="8" t="s">
        <v>337</v>
      </c>
    </row>
    <row r="27" spans="1:8" x14ac:dyDescent="0.35">
      <c r="A27" s="21" t="s">
        <v>169</v>
      </c>
      <c r="B27" s="21" t="s">
        <v>55</v>
      </c>
      <c r="C27" s="22">
        <v>43772</v>
      </c>
      <c r="D27" s="21" t="s">
        <v>271</v>
      </c>
      <c r="E27" s="21" t="s">
        <v>272</v>
      </c>
      <c r="F27" s="8" t="s">
        <v>279</v>
      </c>
      <c r="G27" s="8" t="s">
        <v>0</v>
      </c>
      <c r="H27" s="8" t="s">
        <v>337</v>
      </c>
    </row>
    <row r="28" spans="1:8" x14ac:dyDescent="0.35">
      <c r="A28" s="21" t="s">
        <v>216</v>
      </c>
      <c r="B28" s="21" t="s">
        <v>100</v>
      </c>
      <c r="C28" s="22">
        <v>45796</v>
      </c>
      <c r="D28" s="21" t="s">
        <v>271</v>
      </c>
      <c r="E28" s="21" t="s">
        <v>272</v>
      </c>
      <c r="F28" s="8" t="s">
        <v>279</v>
      </c>
      <c r="G28" s="8" t="s">
        <v>0</v>
      </c>
      <c r="H28" s="8" t="s">
        <v>337</v>
      </c>
    </row>
    <row r="29" spans="1:8" x14ac:dyDescent="0.35">
      <c r="A29" s="21" t="s">
        <v>158</v>
      </c>
      <c r="B29" s="21" t="s">
        <v>45</v>
      </c>
      <c r="C29" s="22">
        <v>45323</v>
      </c>
      <c r="D29" s="21" t="s">
        <v>271</v>
      </c>
      <c r="E29" s="21" t="s">
        <v>272</v>
      </c>
      <c r="F29" s="8" t="s">
        <v>273</v>
      </c>
      <c r="G29" s="8" t="s">
        <v>0</v>
      </c>
      <c r="H29" s="8" t="s">
        <v>337</v>
      </c>
    </row>
    <row r="30" spans="1:8" x14ac:dyDescent="0.35">
      <c r="A30" s="21" t="s">
        <v>185</v>
      </c>
      <c r="B30" s="21" t="s">
        <v>69</v>
      </c>
      <c r="C30" s="22">
        <v>45586</v>
      </c>
      <c r="D30" s="21" t="s">
        <v>271</v>
      </c>
      <c r="E30" s="21" t="s">
        <v>272</v>
      </c>
      <c r="F30" s="8" t="s">
        <v>296</v>
      </c>
      <c r="G30" s="8" t="s">
        <v>0</v>
      </c>
      <c r="H30" s="8" t="s">
        <v>337</v>
      </c>
    </row>
    <row r="31" spans="1:8" x14ac:dyDescent="0.35">
      <c r="A31" s="21" t="s">
        <v>180</v>
      </c>
      <c r="B31" s="21" t="s">
        <v>64</v>
      </c>
      <c r="C31" s="22">
        <v>45600</v>
      </c>
      <c r="D31" s="21" t="s">
        <v>271</v>
      </c>
      <c r="E31" s="21" t="s">
        <v>272</v>
      </c>
      <c r="F31" s="8" t="s">
        <v>297</v>
      </c>
      <c r="G31" s="8" t="s">
        <v>0</v>
      </c>
      <c r="H31" s="8" t="s">
        <v>337</v>
      </c>
    </row>
    <row r="32" spans="1:8" x14ac:dyDescent="0.35">
      <c r="A32" s="21" t="s">
        <v>212</v>
      </c>
      <c r="B32" s="21" t="s">
        <v>96</v>
      </c>
      <c r="C32" s="22">
        <v>45600</v>
      </c>
      <c r="D32" s="21" t="s">
        <v>271</v>
      </c>
      <c r="E32" s="21" t="s">
        <v>272</v>
      </c>
      <c r="F32" s="8" t="s">
        <v>298</v>
      </c>
      <c r="G32" s="8" t="s">
        <v>0</v>
      </c>
      <c r="H32" s="8" t="s">
        <v>337</v>
      </c>
    </row>
    <row r="33" spans="1:8" x14ac:dyDescent="0.35">
      <c r="A33" s="21" t="s">
        <v>165</v>
      </c>
      <c r="B33" s="21" t="s">
        <v>51</v>
      </c>
      <c r="C33" s="22">
        <v>42752</v>
      </c>
      <c r="D33" s="21" t="s">
        <v>271</v>
      </c>
      <c r="E33" s="21" t="s">
        <v>272</v>
      </c>
      <c r="F33" s="8" t="s">
        <v>282</v>
      </c>
      <c r="G33" s="8" t="s">
        <v>0</v>
      </c>
      <c r="H33" s="8" t="s">
        <v>337</v>
      </c>
    </row>
    <row r="34" spans="1:8" x14ac:dyDescent="0.35">
      <c r="A34" s="21" t="s">
        <v>156</v>
      </c>
      <c r="B34" s="21" t="s">
        <v>44</v>
      </c>
      <c r="C34" s="22">
        <v>45635</v>
      </c>
      <c r="D34" s="21" t="s">
        <v>271</v>
      </c>
      <c r="E34" s="21" t="s">
        <v>272</v>
      </c>
      <c r="F34" s="8" t="s">
        <v>279</v>
      </c>
      <c r="G34" s="8" t="s">
        <v>0</v>
      </c>
      <c r="H34" s="8" t="s">
        <v>336</v>
      </c>
    </row>
    <row r="35" spans="1:8" x14ac:dyDescent="0.35">
      <c r="A35" s="21" t="s">
        <v>153</v>
      </c>
      <c r="B35" s="21" t="s">
        <v>41</v>
      </c>
      <c r="C35" s="22">
        <v>45768</v>
      </c>
      <c r="D35" s="21" t="s">
        <v>271</v>
      </c>
      <c r="E35" s="21" t="s">
        <v>272</v>
      </c>
      <c r="F35" s="8" t="s">
        <v>299</v>
      </c>
      <c r="G35" s="8" t="s">
        <v>0</v>
      </c>
      <c r="H35" s="8" t="s">
        <v>336</v>
      </c>
    </row>
    <row r="36" spans="1:8" x14ac:dyDescent="0.35">
      <c r="A36" s="21" t="s">
        <v>152</v>
      </c>
      <c r="B36" s="21" t="s">
        <v>40</v>
      </c>
      <c r="C36" s="22">
        <v>45341</v>
      </c>
      <c r="D36" s="21" t="s">
        <v>271</v>
      </c>
      <c r="E36" s="21" t="s">
        <v>272</v>
      </c>
      <c r="F36" s="8" t="s">
        <v>279</v>
      </c>
      <c r="G36" s="8" t="s">
        <v>0</v>
      </c>
      <c r="H36" s="8" t="s">
        <v>337</v>
      </c>
    </row>
    <row r="37" spans="1:8" x14ac:dyDescent="0.35">
      <c r="A37" s="21" t="s">
        <v>197</v>
      </c>
      <c r="B37" s="21" t="s">
        <v>80</v>
      </c>
      <c r="C37" s="22">
        <v>45390</v>
      </c>
      <c r="D37" s="21" t="s">
        <v>271</v>
      </c>
      <c r="E37" s="21" t="s">
        <v>272</v>
      </c>
      <c r="F37" s="8" t="s">
        <v>300</v>
      </c>
      <c r="G37" s="8" t="s">
        <v>0</v>
      </c>
      <c r="H37" s="8" t="s">
        <v>337</v>
      </c>
    </row>
    <row r="38" spans="1:8" x14ac:dyDescent="0.35">
      <c r="A38" s="21" t="s">
        <v>228</v>
      </c>
      <c r="B38" s="21" t="s">
        <v>112</v>
      </c>
      <c r="C38" s="22">
        <v>44116</v>
      </c>
      <c r="D38" s="21" t="s">
        <v>271</v>
      </c>
      <c r="E38" s="21" t="s">
        <v>272</v>
      </c>
      <c r="F38" s="8" t="s">
        <v>287</v>
      </c>
      <c r="G38" s="8" t="s">
        <v>0</v>
      </c>
      <c r="H38" s="8" t="s">
        <v>337</v>
      </c>
    </row>
    <row r="39" spans="1:8" x14ac:dyDescent="0.35">
      <c r="A39" s="21" t="s">
        <v>170</v>
      </c>
      <c r="B39" s="21" t="s">
        <v>56</v>
      </c>
      <c r="C39" s="22">
        <v>45659</v>
      </c>
      <c r="D39" s="21" t="s">
        <v>271</v>
      </c>
      <c r="E39" s="21" t="s">
        <v>272</v>
      </c>
      <c r="F39" s="8" t="s">
        <v>280</v>
      </c>
      <c r="G39" s="8" t="s">
        <v>0</v>
      </c>
      <c r="H39" s="8" t="s">
        <v>337</v>
      </c>
    </row>
    <row r="40" spans="1:8" x14ac:dyDescent="0.35">
      <c r="A40" s="21" t="s">
        <v>198</v>
      </c>
      <c r="B40" s="21" t="s">
        <v>81</v>
      </c>
      <c r="C40" s="22">
        <v>45488</v>
      </c>
      <c r="D40" s="21" t="s">
        <v>271</v>
      </c>
      <c r="E40" s="21" t="s">
        <v>272</v>
      </c>
      <c r="F40" s="8" t="s">
        <v>296</v>
      </c>
      <c r="G40" s="8" t="s">
        <v>0</v>
      </c>
      <c r="H40" s="8" t="s">
        <v>336</v>
      </c>
    </row>
    <row r="41" spans="1:8" x14ac:dyDescent="0.35">
      <c r="A41" s="21" t="s">
        <v>171</v>
      </c>
      <c r="B41" s="21" t="s">
        <v>57</v>
      </c>
      <c r="C41" s="22">
        <v>45712</v>
      </c>
      <c r="D41" s="21" t="s">
        <v>271</v>
      </c>
      <c r="E41" s="21" t="s">
        <v>272</v>
      </c>
      <c r="F41" s="8" t="s">
        <v>273</v>
      </c>
      <c r="G41" s="8" t="s">
        <v>0</v>
      </c>
      <c r="H41" s="8" t="s">
        <v>337</v>
      </c>
    </row>
    <row r="42" spans="1:8" x14ac:dyDescent="0.35">
      <c r="A42" s="21" t="s">
        <v>213</v>
      </c>
      <c r="B42" s="21" t="s">
        <v>97</v>
      </c>
      <c r="C42" s="22">
        <v>45721</v>
      </c>
      <c r="D42" s="21" t="s">
        <v>271</v>
      </c>
      <c r="E42" s="21" t="s">
        <v>272</v>
      </c>
      <c r="F42" s="8" t="s">
        <v>301</v>
      </c>
      <c r="G42" s="8" t="s">
        <v>0</v>
      </c>
      <c r="H42" s="8" t="s">
        <v>336</v>
      </c>
    </row>
    <row r="43" spans="1:8" x14ac:dyDescent="0.35">
      <c r="A43" s="21" t="s">
        <v>302</v>
      </c>
      <c r="B43" s="21" t="s">
        <v>260</v>
      </c>
      <c r="C43" s="22">
        <v>45735</v>
      </c>
      <c r="D43" s="21" t="s">
        <v>271</v>
      </c>
      <c r="E43" s="21" t="s">
        <v>272</v>
      </c>
      <c r="F43" s="8" t="s">
        <v>303</v>
      </c>
      <c r="G43" s="8" t="s">
        <v>293</v>
      </c>
      <c r="H43" s="8" t="s">
        <v>337</v>
      </c>
    </row>
    <row r="44" spans="1:8" x14ac:dyDescent="0.35">
      <c r="A44" s="21" t="s">
        <v>252</v>
      </c>
      <c r="B44" s="21" t="s">
        <v>135</v>
      </c>
      <c r="C44" s="22">
        <v>45750</v>
      </c>
      <c r="D44" s="21" t="s">
        <v>271</v>
      </c>
      <c r="E44" s="21" t="s">
        <v>272</v>
      </c>
      <c r="F44" s="8" t="s">
        <v>304</v>
      </c>
      <c r="G44" s="8" t="s">
        <v>0</v>
      </c>
      <c r="H44" s="8" t="s">
        <v>337</v>
      </c>
    </row>
    <row r="45" spans="1:8" x14ac:dyDescent="0.35">
      <c r="A45" s="21" t="s">
        <v>249</v>
      </c>
      <c r="B45" s="21" t="s">
        <v>129</v>
      </c>
      <c r="C45" s="22">
        <v>45761</v>
      </c>
      <c r="D45" s="21" t="s">
        <v>271</v>
      </c>
      <c r="E45" s="21" t="s">
        <v>272</v>
      </c>
      <c r="F45" s="8" t="s">
        <v>275</v>
      </c>
      <c r="G45" s="8" t="s">
        <v>0</v>
      </c>
      <c r="H45" s="8" t="s">
        <v>337</v>
      </c>
    </row>
    <row r="46" spans="1:8" x14ac:dyDescent="0.35">
      <c r="A46" s="21" t="s">
        <v>233</v>
      </c>
      <c r="B46" s="21" t="s">
        <v>117</v>
      </c>
      <c r="C46" s="22">
        <v>45119</v>
      </c>
      <c r="D46" s="21" t="s">
        <v>271</v>
      </c>
      <c r="E46" s="21" t="s">
        <v>272</v>
      </c>
      <c r="F46" s="8" t="s">
        <v>286</v>
      </c>
      <c r="G46" s="8" t="s">
        <v>0</v>
      </c>
      <c r="H46" s="8" t="s">
        <v>337</v>
      </c>
    </row>
    <row r="47" spans="1:8" x14ac:dyDescent="0.35">
      <c r="A47" s="21" t="s">
        <v>189</v>
      </c>
      <c r="B47" s="21" t="s">
        <v>72</v>
      </c>
      <c r="C47" s="22">
        <v>44321</v>
      </c>
      <c r="D47" s="21" t="s">
        <v>271</v>
      </c>
      <c r="E47" s="21" t="s">
        <v>272</v>
      </c>
      <c r="F47" s="8" t="s">
        <v>287</v>
      </c>
      <c r="G47" s="8" t="s">
        <v>0</v>
      </c>
      <c r="H47" s="8" t="s">
        <v>337</v>
      </c>
    </row>
    <row r="48" spans="1:8" x14ac:dyDescent="0.35">
      <c r="A48" s="21" t="s">
        <v>224</v>
      </c>
      <c r="B48" s="21" t="s">
        <v>107</v>
      </c>
      <c r="C48" s="22">
        <v>44641</v>
      </c>
      <c r="D48" s="21" t="s">
        <v>271</v>
      </c>
      <c r="E48" s="21" t="s">
        <v>272</v>
      </c>
      <c r="F48" s="8" t="s">
        <v>274</v>
      </c>
      <c r="G48" s="8" t="s">
        <v>0</v>
      </c>
      <c r="H48" s="8" t="s">
        <v>337</v>
      </c>
    </row>
    <row r="49" spans="1:8" x14ac:dyDescent="0.35">
      <c r="A49" s="21" t="s">
        <v>208</v>
      </c>
      <c r="B49" s="21" t="s">
        <v>92</v>
      </c>
      <c r="C49" s="22">
        <v>45817</v>
      </c>
      <c r="D49" s="21" t="s">
        <v>271</v>
      </c>
      <c r="E49" s="21" t="s">
        <v>272</v>
      </c>
      <c r="F49" s="8" t="s">
        <v>280</v>
      </c>
      <c r="G49" s="8" t="s">
        <v>0</v>
      </c>
      <c r="H49" s="8" t="s">
        <v>337</v>
      </c>
    </row>
    <row r="50" spans="1:8" x14ac:dyDescent="0.35">
      <c r="A50" s="21" t="s">
        <v>227</v>
      </c>
      <c r="B50" s="21" t="s">
        <v>111</v>
      </c>
      <c r="C50" s="22">
        <v>44291</v>
      </c>
      <c r="D50" s="21" t="s">
        <v>271</v>
      </c>
      <c r="E50" s="21" t="s">
        <v>272</v>
      </c>
      <c r="F50" s="8" t="s">
        <v>276</v>
      </c>
      <c r="G50" s="8" t="s">
        <v>0</v>
      </c>
      <c r="H50" s="8" t="s">
        <v>337</v>
      </c>
    </row>
    <row r="51" spans="1:8" x14ac:dyDescent="0.35">
      <c r="A51" s="21" t="s">
        <v>177</v>
      </c>
      <c r="B51" s="21" t="s">
        <v>62</v>
      </c>
      <c r="C51" s="22">
        <v>43666</v>
      </c>
      <c r="D51" s="21" t="s">
        <v>271</v>
      </c>
      <c r="E51" s="21" t="s">
        <v>272</v>
      </c>
      <c r="F51" s="8" t="s">
        <v>305</v>
      </c>
      <c r="G51" s="8" t="s">
        <v>0</v>
      </c>
      <c r="H51" s="8" t="s">
        <v>336</v>
      </c>
    </row>
    <row r="52" spans="1:8" x14ac:dyDescent="0.35">
      <c r="A52" s="21" t="s">
        <v>306</v>
      </c>
      <c r="B52" s="21" t="s">
        <v>258</v>
      </c>
      <c r="C52" s="22">
        <v>45463</v>
      </c>
      <c r="D52" s="21" t="s">
        <v>271</v>
      </c>
      <c r="E52" s="21" t="s">
        <v>272</v>
      </c>
      <c r="F52" s="8" t="s">
        <v>299</v>
      </c>
      <c r="G52" s="8" t="s">
        <v>293</v>
      </c>
      <c r="H52" s="8" t="s">
        <v>337</v>
      </c>
    </row>
    <row r="53" spans="1:8" x14ac:dyDescent="0.35">
      <c r="A53" s="21" t="s">
        <v>155</v>
      </c>
      <c r="B53" s="21" t="s">
        <v>43</v>
      </c>
      <c r="C53" s="22">
        <v>41955</v>
      </c>
      <c r="D53" s="21" t="s">
        <v>271</v>
      </c>
      <c r="E53" s="21" t="s">
        <v>272</v>
      </c>
      <c r="F53" s="8" t="s">
        <v>282</v>
      </c>
      <c r="G53" s="8" t="s">
        <v>0</v>
      </c>
      <c r="H53" s="8" t="s">
        <v>337</v>
      </c>
    </row>
    <row r="54" spans="1:8" x14ac:dyDescent="0.35">
      <c r="A54" s="21" t="s">
        <v>159</v>
      </c>
      <c r="B54" s="21" t="s">
        <v>46</v>
      </c>
      <c r="C54" s="22">
        <v>44494</v>
      </c>
      <c r="D54" s="21" t="s">
        <v>271</v>
      </c>
      <c r="E54" s="21" t="s">
        <v>272</v>
      </c>
      <c r="F54" s="8" t="s">
        <v>275</v>
      </c>
      <c r="G54" s="8" t="s">
        <v>0</v>
      </c>
      <c r="H54" s="8" t="s">
        <v>337</v>
      </c>
    </row>
    <row r="55" spans="1:8" x14ac:dyDescent="0.35">
      <c r="A55" s="21" t="s">
        <v>250</v>
      </c>
      <c r="B55" s="21" t="s">
        <v>130</v>
      </c>
      <c r="C55" s="22">
        <v>45763</v>
      </c>
      <c r="D55" s="21" t="s">
        <v>271</v>
      </c>
      <c r="E55" s="21" t="s">
        <v>272</v>
      </c>
      <c r="F55" s="8" t="s">
        <v>307</v>
      </c>
      <c r="G55" s="8" t="s">
        <v>0</v>
      </c>
      <c r="H55" s="8" t="s">
        <v>337</v>
      </c>
    </row>
    <row r="56" spans="1:8" x14ac:dyDescent="0.35">
      <c r="A56" s="21" t="s">
        <v>232</v>
      </c>
      <c r="B56" s="21" t="s">
        <v>116</v>
      </c>
      <c r="C56" s="22">
        <v>45005</v>
      </c>
      <c r="D56" s="21" t="s">
        <v>271</v>
      </c>
      <c r="E56" s="21" t="s">
        <v>272</v>
      </c>
      <c r="F56" s="8" t="s">
        <v>308</v>
      </c>
      <c r="G56" s="8" t="s">
        <v>0</v>
      </c>
      <c r="H56" s="8" t="s">
        <v>337</v>
      </c>
    </row>
    <row r="57" spans="1:8" x14ac:dyDescent="0.35">
      <c r="A57" s="21" t="s">
        <v>166</v>
      </c>
      <c r="B57" s="21" t="s">
        <v>52</v>
      </c>
      <c r="C57" s="22">
        <v>45293</v>
      </c>
      <c r="D57" s="21" t="s">
        <v>271</v>
      </c>
      <c r="E57" s="21" t="s">
        <v>272</v>
      </c>
      <c r="F57" s="8" t="s">
        <v>280</v>
      </c>
      <c r="G57" s="8" t="s">
        <v>0</v>
      </c>
      <c r="H57" s="8" t="s">
        <v>337</v>
      </c>
    </row>
    <row r="58" spans="1:8" x14ac:dyDescent="0.35">
      <c r="A58" s="21" t="s">
        <v>172</v>
      </c>
      <c r="B58" s="21" t="s">
        <v>58</v>
      </c>
      <c r="C58" s="22">
        <v>43339</v>
      </c>
      <c r="D58" s="21" t="s">
        <v>271</v>
      </c>
      <c r="E58" s="21" t="s">
        <v>272</v>
      </c>
      <c r="F58" s="8" t="s">
        <v>282</v>
      </c>
      <c r="G58" s="8" t="s">
        <v>0</v>
      </c>
      <c r="H58" s="8" t="s">
        <v>337</v>
      </c>
    </row>
    <row r="59" spans="1:8" x14ac:dyDescent="0.35">
      <c r="A59" s="21" t="s">
        <v>246</v>
      </c>
      <c r="B59" s="21" t="s">
        <v>127</v>
      </c>
      <c r="C59" s="22">
        <v>44075</v>
      </c>
      <c r="D59" s="21" t="s">
        <v>271</v>
      </c>
      <c r="E59" s="21" t="s">
        <v>272</v>
      </c>
      <c r="F59" s="8" t="s">
        <v>280</v>
      </c>
      <c r="G59" s="8" t="s">
        <v>0</v>
      </c>
      <c r="H59" s="8" t="s">
        <v>337</v>
      </c>
    </row>
    <row r="60" spans="1:8" x14ac:dyDescent="0.35">
      <c r="A60" s="21" t="s">
        <v>207</v>
      </c>
      <c r="B60" s="21" t="s">
        <v>91</v>
      </c>
      <c r="C60" s="22">
        <v>44522</v>
      </c>
      <c r="D60" s="21" t="s">
        <v>271</v>
      </c>
      <c r="E60" s="21" t="s">
        <v>272</v>
      </c>
      <c r="F60" s="8" t="s">
        <v>287</v>
      </c>
      <c r="G60" s="8" t="s">
        <v>0</v>
      </c>
      <c r="H60" s="8" t="s">
        <v>337</v>
      </c>
    </row>
    <row r="61" spans="1:8" x14ac:dyDescent="0.35">
      <c r="A61" s="21" t="s">
        <v>199</v>
      </c>
      <c r="B61" s="21" t="s">
        <v>82</v>
      </c>
      <c r="C61" s="22">
        <v>41611</v>
      </c>
      <c r="D61" s="21" t="s">
        <v>271</v>
      </c>
      <c r="E61" s="21" t="s">
        <v>272</v>
      </c>
      <c r="F61" s="8" t="s">
        <v>275</v>
      </c>
      <c r="G61" s="8" t="s">
        <v>0</v>
      </c>
      <c r="H61" s="8" t="s">
        <v>337</v>
      </c>
    </row>
    <row r="62" spans="1:8" x14ac:dyDescent="0.35">
      <c r="A62" s="21" t="s">
        <v>168</v>
      </c>
      <c r="B62" s="21" t="s">
        <v>54</v>
      </c>
      <c r="C62" s="22">
        <v>45537</v>
      </c>
      <c r="D62" s="21" t="s">
        <v>271</v>
      </c>
      <c r="E62" s="21" t="s">
        <v>272</v>
      </c>
      <c r="F62" s="8" t="s">
        <v>280</v>
      </c>
      <c r="G62" s="8" t="s">
        <v>0</v>
      </c>
      <c r="H62" s="8" t="s">
        <v>337</v>
      </c>
    </row>
    <row r="63" spans="1:8" x14ac:dyDescent="0.35">
      <c r="A63" s="21" t="s">
        <v>196</v>
      </c>
      <c r="B63" s="21" t="s">
        <v>79</v>
      </c>
      <c r="C63" s="22">
        <v>44321</v>
      </c>
      <c r="D63" s="21" t="s">
        <v>271</v>
      </c>
      <c r="E63" s="21" t="s">
        <v>272</v>
      </c>
      <c r="F63" s="8" t="s">
        <v>286</v>
      </c>
      <c r="G63" s="8" t="s">
        <v>0</v>
      </c>
      <c r="H63" s="8" t="s">
        <v>337</v>
      </c>
    </row>
    <row r="64" spans="1:8" x14ac:dyDescent="0.35">
      <c r="A64" s="21" t="s">
        <v>160</v>
      </c>
      <c r="B64" s="21" t="s">
        <v>47</v>
      </c>
      <c r="C64" s="22">
        <v>44608</v>
      </c>
      <c r="D64" s="21" t="s">
        <v>271</v>
      </c>
      <c r="E64" s="21" t="s">
        <v>272</v>
      </c>
      <c r="F64" s="8" t="s">
        <v>274</v>
      </c>
      <c r="G64" s="8" t="s">
        <v>0</v>
      </c>
      <c r="H64" s="8" t="s">
        <v>337</v>
      </c>
    </row>
    <row r="65" spans="1:8" x14ac:dyDescent="0.35">
      <c r="A65" s="21" t="s">
        <v>309</v>
      </c>
      <c r="B65" s="21" t="s">
        <v>261</v>
      </c>
      <c r="C65" s="22">
        <v>45439</v>
      </c>
      <c r="D65" s="21" t="s">
        <v>283</v>
      </c>
      <c r="E65" s="21" t="s">
        <v>272</v>
      </c>
      <c r="F65" s="8" t="s">
        <v>310</v>
      </c>
      <c r="G65" s="8" t="s">
        <v>0</v>
      </c>
      <c r="H65" s="8" t="s">
        <v>337</v>
      </c>
    </row>
    <row r="66" spans="1:8" x14ac:dyDescent="0.35">
      <c r="A66" s="21" t="s">
        <v>223</v>
      </c>
      <c r="B66" s="21" t="s">
        <v>106</v>
      </c>
      <c r="C66" s="22">
        <v>45819</v>
      </c>
      <c r="D66" s="21" t="s">
        <v>271</v>
      </c>
      <c r="E66" s="21" t="s">
        <v>272</v>
      </c>
      <c r="F66" s="8" t="s">
        <v>298</v>
      </c>
      <c r="G66" s="8" t="s">
        <v>0</v>
      </c>
      <c r="H66" s="8" t="s">
        <v>336</v>
      </c>
    </row>
    <row r="67" spans="1:8" x14ac:dyDescent="0.35">
      <c r="A67" s="21" t="s">
        <v>237</v>
      </c>
      <c r="B67" s="21" t="s">
        <v>121</v>
      </c>
      <c r="C67" s="22">
        <v>44564</v>
      </c>
      <c r="D67" s="21" t="s">
        <v>271</v>
      </c>
      <c r="E67" s="21" t="s">
        <v>272</v>
      </c>
      <c r="F67" s="8" t="s">
        <v>275</v>
      </c>
      <c r="G67" s="8" t="s">
        <v>0</v>
      </c>
      <c r="H67" s="8" t="s">
        <v>337</v>
      </c>
    </row>
    <row r="68" spans="1:8" x14ac:dyDescent="0.35">
      <c r="A68" s="21" t="s">
        <v>202</v>
      </c>
      <c r="B68" s="21" t="s">
        <v>85</v>
      </c>
      <c r="C68" s="22">
        <v>45271</v>
      </c>
      <c r="D68" s="21" t="s">
        <v>271</v>
      </c>
      <c r="E68" s="21" t="s">
        <v>272</v>
      </c>
      <c r="F68" s="8" t="s">
        <v>300</v>
      </c>
      <c r="G68" s="8" t="s">
        <v>0</v>
      </c>
      <c r="H68" s="8" t="s">
        <v>337</v>
      </c>
    </row>
    <row r="69" spans="1:8" x14ac:dyDescent="0.35">
      <c r="A69" s="21" t="s">
        <v>201</v>
      </c>
      <c r="B69" s="21" t="s">
        <v>84</v>
      </c>
      <c r="C69" s="22">
        <v>45824</v>
      </c>
      <c r="D69" s="21" t="s">
        <v>271</v>
      </c>
      <c r="E69" s="21" t="s">
        <v>272</v>
      </c>
      <c r="F69" s="8" t="s">
        <v>277</v>
      </c>
      <c r="G69" s="8" t="s">
        <v>0</v>
      </c>
      <c r="H69" s="8" t="s">
        <v>337</v>
      </c>
    </row>
    <row r="70" spans="1:8" x14ac:dyDescent="0.35">
      <c r="A70" s="21" t="s">
        <v>214</v>
      </c>
      <c r="B70" s="21" t="s">
        <v>98</v>
      </c>
      <c r="C70" s="22">
        <v>45517</v>
      </c>
      <c r="D70" s="21" t="s">
        <v>271</v>
      </c>
      <c r="E70" s="21" t="s">
        <v>272</v>
      </c>
      <c r="F70" s="8" t="s">
        <v>311</v>
      </c>
      <c r="G70" s="8" t="s">
        <v>0</v>
      </c>
      <c r="H70" s="8" t="s">
        <v>337</v>
      </c>
    </row>
    <row r="71" spans="1:8" x14ac:dyDescent="0.35">
      <c r="A71" s="21" t="s">
        <v>244</v>
      </c>
      <c r="B71" s="21" t="s">
        <v>126</v>
      </c>
      <c r="C71" s="22">
        <v>44641</v>
      </c>
      <c r="D71" s="21" t="s">
        <v>271</v>
      </c>
      <c r="E71" s="21" t="s">
        <v>272</v>
      </c>
      <c r="F71" s="8" t="s">
        <v>280</v>
      </c>
      <c r="G71" s="8" t="s">
        <v>0</v>
      </c>
      <c r="H71" s="8" t="s">
        <v>337</v>
      </c>
    </row>
    <row r="72" spans="1:8" x14ac:dyDescent="0.35">
      <c r="A72" s="21" t="s">
        <v>229</v>
      </c>
      <c r="B72" s="21" t="s">
        <v>113</v>
      </c>
      <c r="C72" s="22">
        <v>45579</v>
      </c>
      <c r="D72" s="21" t="s">
        <v>289</v>
      </c>
      <c r="E72" s="21" t="s">
        <v>272</v>
      </c>
      <c r="F72" s="8" t="s">
        <v>301</v>
      </c>
      <c r="G72" s="8" t="s">
        <v>0</v>
      </c>
      <c r="H72" s="8" t="s">
        <v>337</v>
      </c>
    </row>
    <row r="73" spans="1:8" x14ac:dyDescent="0.35">
      <c r="A73" s="21" t="s">
        <v>183</v>
      </c>
      <c r="B73" s="21" t="s">
        <v>67</v>
      </c>
      <c r="C73" s="22">
        <v>45425</v>
      </c>
      <c r="D73" s="21" t="s">
        <v>271</v>
      </c>
      <c r="E73" s="21" t="s">
        <v>272</v>
      </c>
      <c r="F73" s="8" t="s">
        <v>277</v>
      </c>
      <c r="G73" s="8" t="s">
        <v>0</v>
      </c>
      <c r="H73" s="8" t="s">
        <v>337</v>
      </c>
    </row>
    <row r="74" spans="1:8" x14ac:dyDescent="0.35">
      <c r="A74" s="21" t="s">
        <v>240</v>
      </c>
      <c r="B74" s="21" t="s">
        <v>123</v>
      </c>
      <c r="C74" s="22">
        <v>45762</v>
      </c>
      <c r="D74" s="21" t="s">
        <v>271</v>
      </c>
      <c r="E74" s="21" t="s">
        <v>272</v>
      </c>
      <c r="F74" s="8" t="s">
        <v>282</v>
      </c>
      <c r="G74" s="8" t="s">
        <v>0</v>
      </c>
      <c r="H74" s="8" t="s">
        <v>337</v>
      </c>
    </row>
    <row r="75" spans="1:8" x14ac:dyDescent="0.35">
      <c r="A75" s="21" t="s">
        <v>236</v>
      </c>
      <c r="B75" s="21" t="s">
        <v>120</v>
      </c>
      <c r="C75" s="22">
        <v>44333</v>
      </c>
      <c r="D75" s="21" t="s">
        <v>271</v>
      </c>
      <c r="E75" s="21" t="s">
        <v>272</v>
      </c>
      <c r="F75" s="8" t="s">
        <v>287</v>
      </c>
      <c r="G75" s="8" t="s">
        <v>0</v>
      </c>
      <c r="H75" s="8" t="s">
        <v>337</v>
      </c>
    </row>
    <row r="76" spans="1:8" x14ac:dyDescent="0.35">
      <c r="A76" s="21" t="s">
        <v>225</v>
      </c>
      <c r="B76" s="21" t="s">
        <v>108</v>
      </c>
      <c r="C76" s="22">
        <v>44242</v>
      </c>
      <c r="D76" s="21" t="s">
        <v>271</v>
      </c>
      <c r="E76" s="21" t="s">
        <v>272</v>
      </c>
      <c r="F76" s="8" t="s">
        <v>287</v>
      </c>
      <c r="G76" s="8" t="s">
        <v>0</v>
      </c>
      <c r="H76" s="8" t="s">
        <v>337</v>
      </c>
    </row>
    <row r="77" spans="1:8" x14ac:dyDescent="0.35">
      <c r="A77" s="21" t="s">
        <v>226</v>
      </c>
      <c r="B77" s="21" t="s">
        <v>110</v>
      </c>
      <c r="C77" s="22">
        <v>42353</v>
      </c>
      <c r="D77" s="21" t="s">
        <v>271</v>
      </c>
      <c r="E77" s="21" t="s">
        <v>272</v>
      </c>
      <c r="F77" s="8" t="s">
        <v>275</v>
      </c>
      <c r="G77" s="8" t="s">
        <v>0</v>
      </c>
      <c r="H77" s="8" t="s">
        <v>337</v>
      </c>
    </row>
    <row r="78" spans="1:8" x14ac:dyDescent="0.35">
      <c r="A78" s="21" t="s">
        <v>173</v>
      </c>
      <c r="B78" s="21" t="s">
        <v>59</v>
      </c>
      <c r="C78" s="22">
        <v>45056</v>
      </c>
      <c r="D78" s="21" t="s">
        <v>271</v>
      </c>
      <c r="E78" s="21" t="s">
        <v>272</v>
      </c>
      <c r="F78" s="8" t="s">
        <v>277</v>
      </c>
      <c r="G78" s="8" t="s">
        <v>0</v>
      </c>
      <c r="H78" s="8" t="s">
        <v>337</v>
      </c>
    </row>
    <row r="79" spans="1:8" x14ac:dyDescent="0.35">
      <c r="A79" s="21" t="s">
        <v>218</v>
      </c>
      <c r="B79" s="21" t="s">
        <v>102</v>
      </c>
      <c r="C79" s="22">
        <v>45812</v>
      </c>
      <c r="D79" s="21" t="s">
        <v>271</v>
      </c>
      <c r="E79" s="21" t="s">
        <v>272</v>
      </c>
      <c r="F79" s="8" t="s">
        <v>279</v>
      </c>
      <c r="G79" s="8" t="s">
        <v>0</v>
      </c>
      <c r="H79" s="8" t="s">
        <v>337</v>
      </c>
    </row>
    <row r="80" spans="1:8" x14ac:dyDescent="0.35">
      <c r="A80" s="21" t="s">
        <v>219</v>
      </c>
      <c r="B80" s="21" t="s">
        <v>103</v>
      </c>
      <c r="C80" s="22">
        <v>45824</v>
      </c>
      <c r="D80" s="21" t="s">
        <v>271</v>
      </c>
      <c r="E80" s="21" t="s">
        <v>272</v>
      </c>
      <c r="F80" s="8" t="s">
        <v>312</v>
      </c>
      <c r="G80" s="8" t="s">
        <v>0</v>
      </c>
      <c r="H80" s="8" t="s">
        <v>337</v>
      </c>
    </row>
    <row r="81" spans="1:8" x14ac:dyDescent="0.35">
      <c r="A81" s="21" t="s">
        <v>215</v>
      </c>
      <c r="B81" s="21" t="s">
        <v>99</v>
      </c>
      <c r="C81" s="22">
        <v>45827</v>
      </c>
      <c r="D81" s="21" t="s">
        <v>271</v>
      </c>
      <c r="E81" s="21" t="s">
        <v>272</v>
      </c>
      <c r="F81" s="8" t="s">
        <v>298</v>
      </c>
      <c r="G81" s="8" t="s">
        <v>0</v>
      </c>
      <c r="H81" s="8" t="s">
        <v>337</v>
      </c>
    </row>
    <row r="82" spans="1:8" x14ac:dyDescent="0.35">
      <c r="A82" s="21" t="s">
        <v>167</v>
      </c>
      <c r="B82" s="21" t="s">
        <v>109</v>
      </c>
      <c r="C82" s="22"/>
      <c r="D82" s="21" t="s">
        <v>271</v>
      </c>
      <c r="E82" s="21" t="s">
        <v>272</v>
      </c>
      <c r="F82" s="21" t="s">
        <v>313</v>
      </c>
      <c r="G82" s="8" t="s">
        <v>0</v>
      </c>
      <c r="H82" s="8" t="s">
        <v>337</v>
      </c>
    </row>
    <row r="83" spans="1:8" x14ac:dyDescent="0.35">
      <c r="A83" s="21" t="s">
        <v>167</v>
      </c>
      <c r="B83" s="7" t="s">
        <v>53</v>
      </c>
      <c r="C83" s="22">
        <v>45597</v>
      </c>
      <c r="D83" s="21" t="s">
        <v>271</v>
      </c>
      <c r="E83" s="21" t="s">
        <v>272</v>
      </c>
      <c r="F83" s="21" t="s">
        <v>313</v>
      </c>
      <c r="G83" s="8" t="s">
        <v>0</v>
      </c>
      <c r="H83" s="8" t="s">
        <v>336</v>
      </c>
    </row>
    <row r="84" spans="1:8" x14ac:dyDescent="0.35">
      <c r="A84" s="21" t="s">
        <v>167</v>
      </c>
      <c r="B84" s="7" t="s">
        <v>262</v>
      </c>
      <c r="C84" s="22"/>
      <c r="D84" s="21" t="s">
        <v>271</v>
      </c>
      <c r="E84" s="21" t="s">
        <v>272</v>
      </c>
      <c r="F84" s="21" t="s">
        <v>313</v>
      </c>
      <c r="G84" s="8" t="s">
        <v>0</v>
      </c>
      <c r="H84" s="8" t="s">
        <v>337</v>
      </c>
    </row>
    <row r="85" spans="1:8" x14ac:dyDescent="0.35">
      <c r="A85" s="21" t="s">
        <v>167</v>
      </c>
      <c r="B85" s="7" t="s">
        <v>263</v>
      </c>
      <c r="C85" s="22">
        <v>45768</v>
      </c>
      <c r="D85" s="21" t="s">
        <v>271</v>
      </c>
      <c r="E85" s="21" t="s">
        <v>272</v>
      </c>
      <c r="F85" s="21" t="s">
        <v>313</v>
      </c>
      <c r="G85" s="8" t="s">
        <v>0</v>
      </c>
      <c r="H85" s="8" t="s">
        <v>337</v>
      </c>
    </row>
    <row r="86" spans="1:8" x14ac:dyDescent="0.35">
      <c r="A86" s="21" t="s">
        <v>167</v>
      </c>
      <c r="B86" s="7" t="s">
        <v>89</v>
      </c>
      <c r="C86" s="22"/>
      <c r="D86" s="21" t="s">
        <v>271</v>
      </c>
      <c r="E86" s="21" t="s">
        <v>272</v>
      </c>
      <c r="F86" s="21" t="s">
        <v>313</v>
      </c>
      <c r="G86" s="8" t="s">
        <v>0</v>
      </c>
      <c r="H86" s="8" t="s">
        <v>336</v>
      </c>
    </row>
    <row r="87" spans="1:8" x14ac:dyDescent="0.35">
      <c r="A87" s="23" t="s">
        <v>194</v>
      </c>
      <c r="B87" s="24" t="s">
        <v>264</v>
      </c>
      <c r="C87" s="22"/>
      <c r="D87" s="21" t="s">
        <v>289</v>
      </c>
      <c r="E87" s="21" t="s">
        <v>272</v>
      </c>
      <c r="F87" s="15" t="s">
        <v>290</v>
      </c>
      <c r="G87" s="8" t="s">
        <v>0</v>
      </c>
      <c r="H87" s="8" t="s">
        <v>337</v>
      </c>
    </row>
    <row r="88" spans="1:8" x14ac:dyDescent="0.35">
      <c r="A88" s="21" t="s">
        <v>231</v>
      </c>
      <c r="B88" s="21" t="s">
        <v>115</v>
      </c>
      <c r="C88" s="22">
        <v>45145</v>
      </c>
      <c r="D88" s="21" t="s">
        <v>271</v>
      </c>
      <c r="E88" s="21" t="s">
        <v>272</v>
      </c>
      <c r="F88" s="8" t="s">
        <v>276</v>
      </c>
      <c r="G88" s="8" t="s">
        <v>0</v>
      </c>
      <c r="H88" s="8" t="s">
        <v>337</v>
      </c>
    </row>
    <row r="89" spans="1:8" x14ac:dyDescent="0.35">
      <c r="A89" s="21" t="s">
        <v>175</v>
      </c>
      <c r="B89" s="21" t="s">
        <v>60</v>
      </c>
      <c r="C89" s="22">
        <v>45293</v>
      </c>
      <c r="D89" s="21" t="s">
        <v>271</v>
      </c>
      <c r="E89" s="21" t="s">
        <v>272</v>
      </c>
      <c r="F89" s="8" t="s">
        <v>273</v>
      </c>
      <c r="G89" s="8" t="s">
        <v>0</v>
      </c>
      <c r="H89" s="8" t="s">
        <v>337</v>
      </c>
    </row>
    <row r="90" spans="1:8" x14ac:dyDescent="0.35">
      <c r="A90" s="21" t="s">
        <v>182</v>
      </c>
      <c r="B90" s="21" t="s">
        <v>66</v>
      </c>
      <c r="C90" s="22">
        <v>45394</v>
      </c>
      <c r="D90" s="21" t="s">
        <v>271</v>
      </c>
      <c r="E90" s="21" t="s">
        <v>272</v>
      </c>
      <c r="F90" s="8" t="s">
        <v>273</v>
      </c>
      <c r="G90" s="8" t="s">
        <v>0</v>
      </c>
      <c r="H90" s="8" t="s">
        <v>337</v>
      </c>
    </row>
    <row r="91" spans="1:8" x14ac:dyDescent="0.35">
      <c r="A91" s="21" t="s">
        <v>241</v>
      </c>
      <c r="B91" s="21" t="s">
        <v>314</v>
      </c>
      <c r="C91" s="22">
        <v>43959</v>
      </c>
      <c r="D91" s="21" t="s">
        <v>271</v>
      </c>
      <c r="E91" s="21" t="s">
        <v>272</v>
      </c>
      <c r="F91" s="8" t="s">
        <v>275</v>
      </c>
      <c r="G91" s="8" t="s">
        <v>0</v>
      </c>
      <c r="H91" s="8" t="s">
        <v>337</v>
      </c>
    </row>
    <row r="92" spans="1:8" x14ac:dyDescent="0.35">
      <c r="A92" s="21" t="s">
        <v>206</v>
      </c>
      <c r="B92" s="21" t="s">
        <v>90</v>
      </c>
      <c r="C92" s="22">
        <v>44557</v>
      </c>
      <c r="D92" s="21" t="s">
        <v>271</v>
      </c>
      <c r="E92" s="21" t="s">
        <v>272</v>
      </c>
      <c r="F92" s="8" t="s">
        <v>277</v>
      </c>
      <c r="G92" s="8" t="s">
        <v>0</v>
      </c>
      <c r="H92" s="8" t="s">
        <v>337</v>
      </c>
    </row>
    <row r="93" spans="1:8" x14ac:dyDescent="0.35">
      <c r="A93" s="21" t="s">
        <v>191</v>
      </c>
      <c r="B93" s="21" t="s">
        <v>74</v>
      </c>
      <c r="C93" s="22">
        <v>44060</v>
      </c>
      <c r="D93" s="21" t="s">
        <v>271</v>
      </c>
      <c r="E93" s="21" t="s">
        <v>272</v>
      </c>
      <c r="F93" s="8" t="s">
        <v>282</v>
      </c>
      <c r="G93" s="8" t="s">
        <v>0</v>
      </c>
      <c r="H93" s="8" t="s">
        <v>337</v>
      </c>
    </row>
    <row r="94" spans="1:8" x14ac:dyDescent="0.35">
      <c r="A94" s="21" t="s">
        <v>161</v>
      </c>
      <c r="B94" s="21" t="s">
        <v>48</v>
      </c>
      <c r="C94" s="22">
        <v>45245</v>
      </c>
      <c r="D94" s="21" t="s">
        <v>271</v>
      </c>
      <c r="E94" s="21" t="s">
        <v>272</v>
      </c>
      <c r="F94" s="8" t="s">
        <v>273</v>
      </c>
      <c r="G94" s="8" t="s">
        <v>0</v>
      </c>
      <c r="H94" s="8" t="s">
        <v>337</v>
      </c>
    </row>
    <row r="95" spans="1:8" x14ac:dyDescent="0.35">
      <c r="A95" s="21" t="s">
        <v>253</v>
      </c>
      <c r="B95" s="21" t="s">
        <v>136</v>
      </c>
      <c r="C95" s="22">
        <v>44229</v>
      </c>
      <c r="D95" s="21" t="s">
        <v>271</v>
      </c>
      <c r="E95" s="21" t="s">
        <v>272</v>
      </c>
      <c r="F95" s="8" t="s">
        <v>276</v>
      </c>
      <c r="G95" s="8" t="s">
        <v>0</v>
      </c>
      <c r="H95" s="8" t="s">
        <v>337</v>
      </c>
    </row>
    <row r="96" spans="1:8" x14ac:dyDescent="0.35">
      <c r="A96" s="21" t="s">
        <v>220</v>
      </c>
      <c r="B96" s="21" t="s">
        <v>104</v>
      </c>
      <c r="C96" s="22">
        <v>42868</v>
      </c>
      <c r="D96" s="21" t="s">
        <v>271</v>
      </c>
      <c r="E96" s="21" t="s">
        <v>272</v>
      </c>
      <c r="F96" s="8" t="s">
        <v>274</v>
      </c>
      <c r="G96" s="8" t="s">
        <v>0</v>
      </c>
      <c r="H96" s="8" t="s">
        <v>337</v>
      </c>
    </row>
    <row r="97" spans="1:8" x14ac:dyDescent="0.35">
      <c r="A97" s="21" t="s">
        <v>203</v>
      </c>
      <c r="B97" s="21" t="s">
        <v>86</v>
      </c>
      <c r="C97" s="22">
        <v>44508</v>
      </c>
      <c r="D97" s="21" t="s">
        <v>271</v>
      </c>
      <c r="E97" s="21" t="s">
        <v>272</v>
      </c>
      <c r="F97" s="8" t="s">
        <v>286</v>
      </c>
      <c r="G97" s="8" t="s">
        <v>0</v>
      </c>
      <c r="H97" s="8" t="s">
        <v>337</v>
      </c>
    </row>
    <row r="98" spans="1:8" x14ac:dyDescent="0.35">
      <c r="A98" s="21" t="s">
        <v>181</v>
      </c>
      <c r="B98" s="21" t="s">
        <v>65</v>
      </c>
      <c r="C98" s="22">
        <v>42753</v>
      </c>
      <c r="D98" s="21" t="s">
        <v>271</v>
      </c>
      <c r="E98" s="21" t="s">
        <v>272</v>
      </c>
      <c r="F98" s="8" t="s">
        <v>285</v>
      </c>
      <c r="G98" s="8" t="s">
        <v>0</v>
      </c>
      <c r="H98" s="8" t="s">
        <v>337</v>
      </c>
    </row>
    <row r="99" spans="1:8" x14ac:dyDescent="0.35">
      <c r="A99" s="21" t="s">
        <v>192</v>
      </c>
      <c r="B99" s="21" t="s">
        <v>75</v>
      </c>
      <c r="C99" s="22">
        <v>45048</v>
      </c>
      <c r="D99" s="21" t="s">
        <v>271</v>
      </c>
      <c r="E99" s="21" t="s">
        <v>272</v>
      </c>
      <c r="F99" s="8" t="s">
        <v>296</v>
      </c>
      <c r="G99" s="8" t="s">
        <v>0</v>
      </c>
      <c r="H99" s="8" t="s">
        <v>337</v>
      </c>
    </row>
    <row r="100" spans="1:8" x14ac:dyDescent="0.35">
      <c r="A100" s="21" t="s">
        <v>234</v>
      </c>
      <c r="B100" s="21" t="s">
        <v>118</v>
      </c>
      <c r="C100" s="22">
        <v>45253</v>
      </c>
      <c r="D100" s="21" t="s">
        <v>271</v>
      </c>
      <c r="E100" s="21" t="s">
        <v>272</v>
      </c>
      <c r="F100" s="8" t="s">
        <v>273</v>
      </c>
      <c r="G100" s="8" t="s">
        <v>0</v>
      </c>
      <c r="H100" s="8" t="s">
        <v>337</v>
      </c>
    </row>
    <row r="101" spans="1:8" x14ac:dyDescent="0.35">
      <c r="A101" s="21" t="s">
        <v>163</v>
      </c>
      <c r="B101" s="21" t="s">
        <v>49</v>
      </c>
      <c r="C101" s="22">
        <v>43479</v>
      </c>
      <c r="D101" s="21" t="s">
        <v>271</v>
      </c>
      <c r="E101" s="21" t="s">
        <v>272</v>
      </c>
      <c r="F101" s="8" t="s">
        <v>278</v>
      </c>
      <c r="G101" s="8" t="s">
        <v>0</v>
      </c>
      <c r="H101" s="8" t="s">
        <v>337</v>
      </c>
    </row>
    <row r="102" spans="1:8" x14ac:dyDescent="0.35">
      <c r="A102" s="21" t="s">
        <v>176</v>
      </c>
      <c r="B102" s="21" t="s">
        <v>61</v>
      </c>
      <c r="C102" s="22">
        <v>42415</v>
      </c>
      <c r="D102" s="21" t="s">
        <v>271</v>
      </c>
      <c r="E102" s="21" t="s">
        <v>272</v>
      </c>
      <c r="F102" s="8" t="s">
        <v>274</v>
      </c>
      <c r="G102" s="8" t="s">
        <v>0</v>
      </c>
      <c r="H102" s="8" t="s">
        <v>337</v>
      </c>
    </row>
    <row r="103" spans="1:8" x14ac:dyDescent="0.35">
      <c r="A103" s="21" t="s">
        <v>315</v>
      </c>
      <c r="B103" s="21" t="s">
        <v>259</v>
      </c>
      <c r="C103" s="22">
        <v>42513</v>
      </c>
      <c r="D103" s="21" t="s">
        <v>271</v>
      </c>
      <c r="E103" s="21" t="s">
        <v>272</v>
      </c>
      <c r="F103" s="8" t="s">
        <v>278</v>
      </c>
      <c r="G103" s="8" t="s">
        <v>293</v>
      </c>
      <c r="H103" s="8" t="s">
        <v>337</v>
      </c>
    </row>
    <row r="104" spans="1:8" x14ac:dyDescent="0.35">
      <c r="A104" s="21" t="s">
        <v>164</v>
      </c>
      <c r="B104" s="21" t="s">
        <v>50</v>
      </c>
      <c r="C104" s="22">
        <v>43524</v>
      </c>
      <c r="D104" s="21" t="s">
        <v>271</v>
      </c>
      <c r="E104" s="21" t="s">
        <v>272</v>
      </c>
      <c r="F104" s="8" t="s">
        <v>279</v>
      </c>
      <c r="G104" s="8" t="s">
        <v>0</v>
      </c>
      <c r="H104" s="8" t="s">
        <v>337</v>
      </c>
    </row>
    <row r="105" spans="1:8" x14ac:dyDescent="0.35">
      <c r="A105" s="21" t="s">
        <v>242</v>
      </c>
      <c r="B105" s="21" t="s">
        <v>125</v>
      </c>
      <c r="C105" s="22">
        <v>43475</v>
      </c>
      <c r="D105" s="21" t="s">
        <v>271</v>
      </c>
      <c r="E105" s="21" t="s">
        <v>272</v>
      </c>
      <c r="F105" s="8" t="s">
        <v>278</v>
      </c>
      <c r="G105" s="8" t="s">
        <v>0</v>
      </c>
      <c r="H105" s="8" t="s">
        <v>337</v>
      </c>
    </row>
  </sheetData>
  <autoFilter ref="A1:G105" xr:uid="{9097D651-9059-45C1-AB7D-75BF53B49056}"/>
  <phoneticPr fontId="1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188043a-9982-4fde-96bc-443ee89f9663" xsi:nil="true"/>
    <lcf76f155ced4ddcb4097134ff3c332f xmlns="7f6a179c-06a7-4b49-a543-950f5833f154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5C6A66BAFE114469A02E1558716582A" ma:contentTypeVersion="11" ma:contentTypeDescription="Create a new document." ma:contentTypeScope="" ma:versionID="b3c2194fc2c1ef31982134e97e435d18">
  <xsd:schema xmlns:xsd="http://www.w3.org/2001/XMLSchema" xmlns:xs="http://www.w3.org/2001/XMLSchema" xmlns:p="http://schemas.microsoft.com/office/2006/metadata/properties" xmlns:ns2="7f6a179c-06a7-4b49-a543-950f5833f154" xmlns:ns3="4188043a-9982-4fde-96bc-443ee89f9663" targetNamespace="http://schemas.microsoft.com/office/2006/metadata/properties" ma:root="true" ma:fieldsID="24fe85f20f33e9ff3a9797ceceb3828c" ns2:_="" ns3:_="">
    <xsd:import namespace="7f6a179c-06a7-4b49-a543-950f5833f154"/>
    <xsd:import namespace="4188043a-9982-4fde-96bc-443ee89f96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6a179c-06a7-4b49-a543-950f5833f15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2c688d5-8c9f-42ea-b379-5f7d706bd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88043a-9982-4fde-96bc-443ee89f966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a6af3a6-af4f-4d39-8522-8252cf6f1062}" ma:internalName="TaxCatchAll" ma:showField="CatchAllData" ma:web="4188043a-9982-4fde-96bc-443ee89f966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D5C23DD-991F-4EA5-8D45-48506AB540E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384750-480B-4A14-BC05-092D0DFE8F54}">
  <ds:schemaRefs>
    <ds:schemaRef ds:uri="http://schemas.microsoft.com/office/2006/metadata/properties"/>
    <ds:schemaRef ds:uri="http://schemas.microsoft.com/office/infopath/2007/PartnerControls"/>
    <ds:schemaRef ds:uri="a02e043b-59b1-422d-be43-51f9c31c3f41"/>
    <ds:schemaRef ds:uri="512961ca-3315-450f-a60d-8a3f687d4aa0"/>
    <ds:schemaRef ds:uri="4188043a-9982-4fde-96bc-443ee89f9663"/>
    <ds:schemaRef ds:uri="7f6a179c-06a7-4b49-a543-950f5833f154"/>
  </ds:schemaRefs>
</ds:datastoreItem>
</file>

<file path=customXml/itemProps3.xml><?xml version="1.0" encoding="utf-8"?>
<ds:datastoreItem xmlns:ds="http://schemas.openxmlformats.org/officeDocument/2006/customXml" ds:itemID="{76F48B51-0B67-41C5-8BB4-CFEE28F0AF4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f6a179c-06a7-4b49-a543-950f5833f154"/>
    <ds:schemaRef ds:uri="4188043a-9982-4fde-96bc-443ee89f96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Delete</vt:lpstr>
      <vt:lpstr>Project wise Allocation</vt:lpstr>
      <vt:lpstr>Project Dates</vt:lpstr>
      <vt:lpstr>Team per Project</vt:lpstr>
      <vt:lpstr>Emp Master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Jitender Chaurasia</cp:lastModifiedBy>
  <cp:revision/>
  <dcterms:created xsi:type="dcterms:W3CDTF">2025-08-25T07:15:09Z</dcterms:created>
  <dcterms:modified xsi:type="dcterms:W3CDTF">2026-06-18T09:17:42Z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0x01010065C6A66BAFE114469A02E1558716582A</vt:lpwstr>
  </property>
  <property fmtid="{D5CDD505-2E9C-101B-9397-08002B2CF9AE}" pid="3" name="MediaServiceImageTags">
    <vt:lpwstr/>
  </property>
</Properties>
</file>