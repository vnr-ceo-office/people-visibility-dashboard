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hplit.sharepoint.com/sites/PowerBIDashboard/Shared Documents/10. People Visibility/"/>
    </mc:Choice>
  </mc:AlternateContent>
  <xr:revisionPtr revIDLastSave="162" documentId="8_{2429B631-85C5-4A83-A6A7-8CA6064F4AF7}" xr6:coauthVersionLast="47" xr6:coauthVersionMax="47" xr10:uidLastSave="{04FC61E0-61EE-432A-B96B-6315A3D090DC}"/>
  <bookViews>
    <workbookView xWindow="-110" yWindow="-110" windowWidth="19420" windowHeight="11500" activeTab="1" xr2:uid="{82992E77-BA5B-46D5-A599-52B4128557EE}"/>
  </bookViews>
  <sheets>
    <sheet name="Data" sheetId="1" r:id="rId1"/>
    <sheet name="Master" sheetId="2" r:id="rId2"/>
  </sheets>
  <definedNames>
    <definedName name="_xlnm._FilterDatabase" localSheetId="0" hidden="1">Data!$A$1:$T$32</definedName>
    <definedName name="_xlnm._FilterDatabase" localSheetId="1" hidden="1">Master!$A$1:$H$98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0" i="1" l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<sst xmlns="http://schemas.openxmlformats.org/spreadsheetml/2006/main" count="725" uniqueCount="334">
  <si>
    <t>S.No</t>
  </si>
  <si>
    <t>Project Name</t>
  </si>
  <si>
    <t>Baseline period</t>
  </si>
  <si>
    <t>La Estella 1 &amp; 2 &amp; 3</t>
  </si>
  <si>
    <t>Units</t>
  </si>
  <si>
    <t>La Formosa</t>
  </si>
  <si>
    <t>La Merida 1 &amp; 2 &amp; 3</t>
  </si>
  <si>
    <t>La Mora</t>
  </si>
  <si>
    <t>La Esca Estate and Farm Villa</t>
  </si>
  <si>
    <t>La Arvisa</t>
  </si>
  <si>
    <t>VILLA DA SIRENA</t>
  </si>
  <si>
    <t>La Olvera</t>
  </si>
  <si>
    <t>Villa Da Cima</t>
  </si>
  <si>
    <t>La Soleada</t>
  </si>
  <si>
    <t>La Cassinella</t>
  </si>
  <si>
    <t>La Luciana</t>
  </si>
  <si>
    <t>La Benito</t>
  </si>
  <si>
    <t>El Benito</t>
  </si>
  <si>
    <t>La Marcella</t>
  </si>
  <si>
    <t>Dappled light estate</t>
  </si>
  <si>
    <t>Villa Tathastu (Villa Clara)</t>
  </si>
  <si>
    <t>La Ribera</t>
  </si>
  <si>
    <t>La Ermida</t>
  </si>
  <si>
    <t>El Barro</t>
  </si>
  <si>
    <t>La Montanha</t>
  </si>
  <si>
    <t>Villa Da Rosa, Passaro</t>
  </si>
  <si>
    <t>Villa Da Faro, Zarza and Owner villas</t>
  </si>
  <si>
    <t>Cascada</t>
  </si>
  <si>
    <t>Caleta A and B</t>
  </si>
  <si>
    <t>Morjim Estate phase 1</t>
  </si>
  <si>
    <t>Caseiro</t>
  </si>
  <si>
    <t>PUJA VAIBHAV NAIK</t>
  </si>
  <si>
    <t>VINOD V TANDEL, VISHAL</t>
  </si>
  <si>
    <t>DILEEP HONNAPPA TANDEL</t>
  </si>
  <si>
    <t>ASHISH ANAND ARLEKAR</t>
  </si>
  <si>
    <t>ROSHAN BHIKAJI KONDASKAR</t>
  </si>
  <si>
    <t>MANIKANTH MADIWAL</t>
  </si>
  <si>
    <t>ARJUN KAMLAKAR RAWOOL</t>
  </si>
  <si>
    <t>KALLAPPA DATTATRAY NARVEKAR</t>
  </si>
  <si>
    <t>SANDEEP KUMAR</t>
  </si>
  <si>
    <t>VIKKEE  XALXLO</t>
  </si>
  <si>
    <t>MOHAMMED FAIZ JATU</t>
  </si>
  <si>
    <t>PAPPU KUMAR MANDAL</t>
  </si>
  <si>
    <t>NANDKUMAR PRAKASH PATIL</t>
  </si>
  <si>
    <t>GOVIND DATTATRAY DALVI</t>
  </si>
  <si>
    <t>SANO G.  VARUGHESE</t>
  </si>
  <si>
    <t>RAJ RAVINDRA GAWADE</t>
  </si>
  <si>
    <t>DATTARAJ ULHAS KAMBLI</t>
  </si>
  <si>
    <t>JOTIBA MAHIPAT PATIL</t>
  </si>
  <si>
    <t>MOHAMMEDIRFAN PATEL</t>
  </si>
  <si>
    <t>MAYUR VITTHAL PARAB</t>
  </si>
  <si>
    <t>MAHADEV S NAIK</t>
  </si>
  <si>
    <t>SANKET SURYAKANNT GAONKAR</t>
  </si>
  <si>
    <t>POORNANAND PRABHAKAR KANKONKAR</t>
  </si>
  <si>
    <t>SANJAY CHAUHAN</t>
  </si>
  <si>
    <t>SUDHEER D NAIK</t>
  </si>
  <si>
    <t>SIDDHI SABAJI GOVEKAR</t>
  </si>
  <si>
    <t>ARSHAD SHAKIL ATTAR</t>
  </si>
  <si>
    <t>SAIRAJ SAVLARAM MORUDKAR</t>
  </si>
  <si>
    <t>RAMDAS MUKUND PARAB</t>
  </si>
  <si>
    <t xml:space="preserve">MOHD KADIR  </t>
  </si>
  <si>
    <t>Adrash</t>
  </si>
  <si>
    <t>VAIBHAV BALASO PATIL</t>
  </si>
  <si>
    <t>NILKANTH LAXMAN RAWOOL</t>
  </si>
  <si>
    <t>NAMDEV CHOPADE</t>
  </si>
  <si>
    <t>PRATHAMESH SURESH DESAI</t>
  </si>
  <si>
    <t>MANJUNATH RUDRAPPA CHOPADE</t>
  </si>
  <si>
    <t>RAHUL KUMAR VISHWAKARMA</t>
  </si>
  <si>
    <t>NEETENDAR SHARMA</t>
  </si>
  <si>
    <t>VIRAJ BABURAO RANE</t>
  </si>
  <si>
    <t>SURAJ KAKASO PATIL</t>
  </si>
  <si>
    <t>DINESH KAVET</t>
  </si>
  <si>
    <t>DEVALU CHAVHAN</t>
  </si>
  <si>
    <t>NIKHIL TULSHIDAS PATKAR</t>
  </si>
  <si>
    <t>RAGHOBHA YASHWANT</t>
  </si>
  <si>
    <t>AKSHAY MANDREKAR</t>
  </si>
  <si>
    <t>MOHAMMED SUHEL SHAIKH</t>
  </si>
  <si>
    <t>PANKAJ PREMANAND NAGEKAR</t>
  </si>
  <si>
    <t>DEEPAK ASHOK DESSAI</t>
  </si>
  <si>
    <t>YUVRAJ PRAKASH PATIL</t>
  </si>
  <si>
    <t>AKBAR ADAM BAEKHAN</t>
  </si>
  <si>
    <t>AJAY THAKUR</t>
  </si>
  <si>
    <t>ABHISEK SOOD</t>
  </si>
  <si>
    <t>BHUPINDER SINGH KASHYAP</t>
  </si>
  <si>
    <t>AJAY KUMAR</t>
  </si>
  <si>
    <t>SAHEEL MAULINGKER</t>
  </si>
  <si>
    <t>WINSTON FERNANDES</t>
  </si>
  <si>
    <t>SHEKHAR SHAMRAO PATIL</t>
  </si>
  <si>
    <t>JAMES PAUL</t>
  </si>
  <si>
    <t>ANAND GAWADE</t>
  </si>
  <si>
    <t>OMKAR RAJU MUDAGAL</t>
  </si>
  <si>
    <t>ABHINANDAN ANANDA PATIL</t>
  </si>
  <si>
    <t>GAJANAN KRISHNA GAONKAR</t>
  </si>
  <si>
    <t>RAMESHWAR SUBHASH BANDEKAR</t>
  </si>
  <si>
    <t>VINOD ANANT DESHBHANDARI</t>
  </si>
  <si>
    <t>NAIDU KRISHNA AMBISWAMI</t>
  </si>
  <si>
    <t>SIDDHARTH FULAGABABU KERKAR</t>
  </si>
  <si>
    <t>GOURESH NAIK</t>
  </si>
  <si>
    <t>SOURABH VASUDEV SHIRODKAR</t>
  </si>
  <si>
    <t>ROHIT SARAF</t>
  </si>
  <si>
    <t>prakash ganager</t>
  </si>
  <si>
    <t>SACHIN S NAIK</t>
  </si>
  <si>
    <t>SUDHIR DATTARAM ASOLKAR</t>
  </si>
  <si>
    <t>R. PAPUN PRADHAN</t>
  </si>
  <si>
    <t>BAJRA NATH SINGH</t>
  </si>
  <si>
    <t>SANJIV</t>
  </si>
  <si>
    <t>KHOKAN J SARKAR</t>
  </si>
  <si>
    <t>CHANDAN (RUNNER)</t>
  </si>
  <si>
    <t>DINESH SHARMA</t>
  </si>
  <si>
    <t>AMOL SUBODH JAMBHALE</t>
  </si>
  <si>
    <t>VINAYAK N. NAIK</t>
  </si>
  <si>
    <t>GIREEDHARE GORAIN</t>
  </si>
  <si>
    <t>Aditya Gal</t>
  </si>
  <si>
    <t>Nilesh (Store)</t>
  </si>
  <si>
    <t>Prashant Mathod</t>
  </si>
  <si>
    <t>NAGARAJ JAIWANT CHIPKAR</t>
  </si>
  <si>
    <t>Total People</t>
  </si>
  <si>
    <t>Abhinandan Ananda Patil</t>
  </si>
  <si>
    <t>Abhisek Sood</t>
  </si>
  <si>
    <t>Ajay Kumar</t>
  </si>
  <si>
    <t>Ajay Thakur</t>
  </si>
  <si>
    <t>Akbar Adam Baekhan</t>
  </si>
  <si>
    <t>Akshay Mandrekar</t>
  </si>
  <si>
    <t>Amol Subodh Jambhale</t>
  </si>
  <si>
    <t>Anand Gawade</t>
  </si>
  <si>
    <t>Arjun Kamlakar Rawool</t>
  </si>
  <si>
    <t>Arshad Shakil Attar</t>
  </si>
  <si>
    <t>Ashish Anand Arlekar</t>
  </si>
  <si>
    <t>Bajra Nath Singh</t>
  </si>
  <si>
    <t xml:space="preserve">Bhiva Laxman Chavan </t>
  </si>
  <si>
    <t>Bhupinder Singh Kashyap</t>
  </si>
  <si>
    <t>Chandan (Runner)</t>
  </si>
  <si>
    <t>Dattaraj Ulhas Kambli</t>
  </si>
  <si>
    <t>Deepak Ashok Dessai</t>
  </si>
  <si>
    <t>Devalu Chavhan</t>
  </si>
  <si>
    <t>Dileep Honnappa Tandel</t>
  </si>
  <si>
    <t>Dinesh Kavet</t>
  </si>
  <si>
    <t>Dinesh Sharma</t>
  </si>
  <si>
    <t>Gajanan Krishna Gaonkar</t>
  </si>
  <si>
    <t>Gireedhare Gorain</t>
  </si>
  <si>
    <t>Gouresh Naik</t>
  </si>
  <si>
    <t>Govind Dattatray Dalvi</t>
  </si>
  <si>
    <t>James Paul</t>
  </si>
  <si>
    <t>Jotiba Mahipat Patil</t>
  </si>
  <si>
    <t>Kallappa Dattatray Narvekar</t>
  </si>
  <si>
    <t>Khokan J Sarkar</t>
  </si>
  <si>
    <t>Mahadev S Naik</t>
  </si>
  <si>
    <t>Manikanth Madiwal</t>
  </si>
  <si>
    <t>Manjunath Rudrappa Chopade</t>
  </si>
  <si>
    <t>Mayur Vitthal Parab</t>
  </si>
  <si>
    <t>Mohammed Faiz Jatu</t>
  </si>
  <si>
    <t>Mohammed Suhel Shaikh</t>
  </si>
  <si>
    <t>Mohammedirfan Patel</t>
  </si>
  <si>
    <t xml:space="preserve">Mohd Kadir  </t>
  </si>
  <si>
    <t>Nagaraj Jaiwant Chipkar</t>
  </si>
  <si>
    <t>Naidu Krishna Ambiswami</t>
  </si>
  <si>
    <t>Namdev Chopade</t>
  </si>
  <si>
    <t>Nandkumar Prakash Patil</t>
  </si>
  <si>
    <t>Neetendar Sharma</t>
  </si>
  <si>
    <t>Nikhil Tulshidas Patkar</t>
  </si>
  <si>
    <t>Nilkanth Laxman Rawool</t>
  </si>
  <si>
    <t>Omkar Raju Mudagal</t>
  </si>
  <si>
    <t>Pankaj Premanand Nagekar</t>
  </si>
  <si>
    <t>Pappu Kumar Mandal</t>
  </si>
  <si>
    <t>Poornanand Prabhakar Kankonkar</t>
  </si>
  <si>
    <t>Prakash Ganager</t>
  </si>
  <si>
    <t>Prathamesh Suresh Desai</t>
  </si>
  <si>
    <t>Puja Vaibhav Naik</t>
  </si>
  <si>
    <t>R. Papun Pradhan</t>
  </si>
  <si>
    <t>Raghobha Yashwant</t>
  </si>
  <si>
    <t>Rahul Kumar Vishwakarma</t>
  </si>
  <si>
    <t>Raj Ravindra Gawade</t>
  </si>
  <si>
    <t>Ramdas Mukund Parab</t>
  </si>
  <si>
    <t>Rameshwar Subhash Bandekar</t>
  </si>
  <si>
    <t>Rohit Saraf</t>
  </si>
  <si>
    <t>Roshan Bhikaji Kondaskar</t>
  </si>
  <si>
    <t>Sachin S Naik</t>
  </si>
  <si>
    <t>Saheel Maulingker</t>
  </si>
  <si>
    <t>Sairaj Savlaram Morudkar</t>
  </si>
  <si>
    <t>Sandeep Kumar</t>
  </si>
  <si>
    <t>Sanjay Chauhan</t>
  </si>
  <si>
    <t>Sanjiv</t>
  </si>
  <si>
    <t>Sanket Suryakannt Gaonkar</t>
  </si>
  <si>
    <t>Sano G.  Varughese</t>
  </si>
  <si>
    <t>Shekhar Shamrao Patil</t>
  </si>
  <si>
    <t>Siddharth Fulagababu Kerkar</t>
  </si>
  <si>
    <t>Siddhi Sabaji Govekar</t>
  </si>
  <si>
    <t>Sourabh Vasudev Shirodkar</t>
  </si>
  <si>
    <t>Sudheer D Naik</t>
  </si>
  <si>
    <t>Sudhir Dattaram Asolkar</t>
  </si>
  <si>
    <t>Suraj Kakaso Patil</t>
  </si>
  <si>
    <t>Vaibhav Balaso Patil</t>
  </si>
  <si>
    <t>Vikkee  Xalxlo</t>
  </si>
  <si>
    <t>Vinayak N. Naik</t>
  </si>
  <si>
    <t>Vinod Anant Deshbhandari</t>
  </si>
  <si>
    <t>Vinod V Tandel, Vishal</t>
  </si>
  <si>
    <t>Viraj Baburao Rane</t>
  </si>
  <si>
    <t>Winston Fernandes</t>
  </si>
  <si>
    <t>Yuvraj Prakash Patil</t>
  </si>
  <si>
    <t>EMP CODE</t>
  </si>
  <si>
    <t>EMP NAME</t>
  </si>
  <si>
    <t>Joining Dates</t>
  </si>
  <si>
    <t>Location Name</t>
  </si>
  <si>
    <t>Function</t>
  </si>
  <si>
    <t>DESIGNATION</t>
  </si>
  <si>
    <t>Sub - Department</t>
  </si>
  <si>
    <t>In System / Left</t>
  </si>
  <si>
    <t>OEP-1-0091</t>
  </si>
  <si>
    <t>GOA OFFICE</t>
  </si>
  <si>
    <t>PROJECTS &amp; PURCHASE</t>
  </si>
  <si>
    <t>FINISHING ENGINEER</t>
  </si>
  <si>
    <t>Projects</t>
  </si>
  <si>
    <t>In System</t>
  </si>
  <si>
    <t>OEP-1-0109</t>
  </si>
  <si>
    <t>ENGINEER</t>
  </si>
  <si>
    <t>VRPL-1-0060</t>
  </si>
  <si>
    <t>RYG-1-0122</t>
  </si>
  <si>
    <t>SUPERVISOR</t>
  </si>
  <si>
    <t>RGY-1-0149</t>
  </si>
  <si>
    <t>RYG-1-0139</t>
  </si>
  <si>
    <t>JUNIOR ENGINEER</t>
  </si>
  <si>
    <t>RYG-1-0142</t>
  </si>
  <si>
    <t>SENIOR ENGINEER</t>
  </si>
  <si>
    <t>SITE ENGINEER</t>
  </si>
  <si>
    <t>RYG-1-0154</t>
  </si>
  <si>
    <t>RYG-1-0155</t>
  </si>
  <si>
    <t>RCC CUM FINISHING MANAGER</t>
  </si>
  <si>
    <t>VH0169</t>
  </si>
  <si>
    <t>SENIOR SUPERVISOR</t>
  </si>
  <si>
    <t>OEP-1-0073</t>
  </si>
  <si>
    <t>SENIOR  ENGINEER</t>
  </si>
  <si>
    <t>VHRL-1-0013</t>
  </si>
  <si>
    <t>SENIOR ASSOCIATE ENGINEER</t>
  </si>
  <si>
    <t>IEP-1-0013</t>
  </si>
  <si>
    <t>OEP-1-0095</t>
  </si>
  <si>
    <t>SITE CO-ORDINATOR</t>
  </si>
  <si>
    <t>OEP-1-0112</t>
  </si>
  <si>
    <t>MANAGER</t>
  </si>
  <si>
    <t>Others</t>
  </si>
  <si>
    <t>IEP-1-0032</t>
  </si>
  <si>
    <t>OEP-1-0110</t>
  </si>
  <si>
    <t>RYG-1-0058</t>
  </si>
  <si>
    <t>VRPL-1-0069</t>
  </si>
  <si>
    <t>OEP-1-0096</t>
  </si>
  <si>
    <t>IEP-1-0062</t>
  </si>
  <si>
    <t>FINISHING MANAGER</t>
  </si>
  <si>
    <t xml:space="preserve">IEP-1-0064 </t>
  </si>
  <si>
    <t>SENIOR SITE ENGINEER</t>
  </si>
  <si>
    <t>IEP-1-0065</t>
  </si>
  <si>
    <t>SITE SUPERVISOR</t>
  </si>
  <si>
    <t>OEP-1-0097</t>
  </si>
  <si>
    <t>OEP-1-0098</t>
  </si>
  <si>
    <t>SITE SUPERVISOR-PROJECTS</t>
  </si>
  <si>
    <t>OEP-1-0122</t>
  </si>
  <si>
    <t>IEP-1-0085</t>
  </si>
  <si>
    <t>IEP-1-0097</t>
  </si>
  <si>
    <t>IEP-1-0115</t>
  </si>
  <si>
    <t>FOREMAN</t>
  </si>
  <si>
    <t>ASSISTANT MANAGER</t>
  </si>
  <si>
    <t>RRL-1-0430</t>
  </si>
  <si>
    <t>OEP-1-0124</t>
  </si>
  <si>
    <t>OEP-1-0114</t>
  </si>
  <si>
    <t>VRPL-1-0073</t>
  </si>
  <si>
    <t>OEP-1-0074</t>
  </si>
  <si>
    <t>OEP-1-0129</t>
  </si>
  <si>
    <t xml:space="preserve">RRL-1-0320       </t>
  </si>
  <si>
    <t>JUNIOR  ENGINEER</t>
  </si>
  <si>
    <t>VPPL-1-0020</t>
  </si>
  <si>
    <t>OEP-1-0131</t>
  </si>
  <si>
    <t>RYG-1-0067</t>
  </si>
  <si>
    <t>OEP-1-0100</t>
  </si>
  <si>
    <t>OEP-1-0075</t>
  </si>
  <si>
    <t>OEP-1-0133</t>
  </si>
  <si>
    <t>OEP-1-0084</t>
  </si>
  <si>
    <t>VRPL-1-0003</t>
  </si>
  <si>
    <t>VRPL-1-0078</t>
  </si>
  <si>
    <t>VPPL-1-0052</t>
  </si>
  <si>
    <t>RCC MANAGER</t>
  </si>
  <si>
    <t>OEP-1-0118</t>
  </si>
  <si>
    <t>OEP-1-0076</t>
  </si>
  <si>
    <t>OEP-1-0123</t>
  </si>
  <si>
    <t>VPPL-1-0074</t>
  </si>
  <si>
    <t>VPPL-1-0081</t>
  </si>
  <si>
    <t>VPPL-1-0097</t>
  </si>
  <si>
    <t>VPPL-1-0103</t>
  </si>
  <si>
    <t>CONSULTANT</t>
  </si>
  <si>
    <t>Consultant</t>
  </si>
  <si>
    <t>VHRL-1-0016</t>
  </si>
  <si>
    <t>VIL-1-0187</t>
  </si>
  <si>
    <t>VIL-1-0227</t>
  </si>
  <si>
    <t>OEP-1-0042</t>
  </si>
  <si>
    <t>OEP-1-0108</t>
  </si>
  <si>
    <t>OEP-1-0160</t>
  </si>
  <si>
    <t>VRPL-1-0030</t>
  </si>
  <si>
    <t>VRPL-1-0034</t>
  </si>
  <si>
    <t>VRPL-1-0037</t>
  </si>
  <si>
    <t>VRPL-1-0042</t>
  </si>
  <si>
    <t>VRPL-1-0049</t>
  </si>
  <si>
    <t>VRPL-1-0052</t>
  </si>
  <si>
    <t>VRPL-1-0054</t>
  </si>
  <si>
    <t>VRPL-1-0056</t>
  </si>
  <si>
    <t>VRPL-1-0057</t>
  </si>
  <si>
    <t>NOT FOUND</t>
  </si>
  <si>
    <t>People1</t>
  </si>
  <si>
    <t>People2</t>
  </si>
  <si>
    <t>People3</t>
  </si>
  <si>
    <t>People4</t>
  </si>
  <si>
    <t>People5</t>
  </si>
  <si>
    <t>People6</t>
  </si>
  <si>
    <t>People7</t>
  </si>
  <si>
    <t>People8</t>
  </si>
  <si>
    <t>People9</t>
  </si>
  <si>
    <t>People10</t>
  </si>
  <si>
    <t>Baseline Start</t>
  </si>
  <si>
    <t>Forecasted End Date</t>
  </si>
  <si>
    <t>Baseline Finished</t>
  </si>
  <si>
    <t>Actual Start</t>
  </si>
  <si>
    <t>Project Incharge</t>
  </si>
  <si>
    <t>Cuento</t>
  </si>
  <si>
    <t>South Goa Phase 1</t>
  </si>
  <si>
    <t>Villa da Careen</t>
  </si>
  <si>
    <t>Villa da Sienna</t>
  </si>
  <si>
    <t>Vishal Tourkar</t>
  </si>
  <si>
    <t>Kailash Bhupendra Ugrej</t>
  </si>
  <si>
    <t>Rajnish Hinde</t>
  </si>
  <si>
    <t>Sanjeev Nimbalkar</t>
  </si>
  <si>
    <t>Koneri E</t>
  </si>
  <si>
    <t>Dinesh Shetye</t>
  </si>
  <si>
    <t>Chetan Kundap</t>
  </si>
  <si>
    <t>Jeevan Sharma</t>
  </si>
  <si>
    <t>Amar Patil</t>
  </si>
  <si>
    <t>Sailash Madali</t>
  </si>
  <si>
    <t>Bhiva Laxman Chavan</t>
  </si>
  <si>
    <t>PROJECT INCHARGE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</si>
</sst>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5" fontId="0" fillId="0" borderId="0" xfId="0" applyNumberFormat="1"/>
    <xf numFmtId="0" fontId="0" fillId="0" borderId="1" xfId="0" applyBorder="1"/>
    <xf numFmtId="0" fontId="1" fillId="2" borderId="1" xfId="0" applyFont="1" applyFill="1" applyBorder="1"/>
    <xf numFmtId="0" fontId="1" fillId="3" borderId="1" xfId="0" applyFont="1" applyFill="1" applyBorder="1"/>
    <xf numFmtId="15" fontId="0" fillId="0" borderId="1" xfId="0" applyNumberFormat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4" borderId="2" xfId="0" applyFont="1" applyFill="1" applyBorder="1" applyAlignment="1">
      <alignment horizontal="center" vertical="center" readingOrder="1"/>
    </xf>
    <xf numFmtId="0" fontId="0" fillId="5" borderId="1" xfId="0" applyFill="1" applyBorder="1" applyAlignment="1">
      <alignment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A3E2D-ADCE-48FF-9B01-BE998886197D}">
  <sheetPr filterMode="1"/>
  <dimension ref="A1:T32"/>
  <sheetViews>
    <sheetView showGridLines="0" topLeftCell="B1" zoomScale="90" zoomScaleNormal="90" workbookViewId="0">
      <pane ySplit="1" topLeftCell="A26" activePane="bottomLeft" state="frozen"/>
      <selection pane="bottomLeft" activeCell="K26" sqref="K26"/>
    </sheetView>
  </sheetViews>
  <sheetFormatPr defaultRowHeight="14.5" x14ac:dyDescent="0.35"/>
  <cols>
    <col min="1" max="1" width="9.90625" bestFit="1" customWidth="1"/>
    <col min="2" max="2" width="30.6328125" bestFit="1" customWidth="1"/>
    <col min="3" max="3" width="7.7265625" bestFit="1" customWidth="1"/>
    <col min="4" max="4" width="16.54296875" bestFit="1" customWidth="1"/>
    <col min="5" max="5" width="15" bestFit="1" customWidth="1"/>
    <col min="6" max="6" width="18.36328125" bestFit="1" customWidth="1"/>
    <col min="7" max="7" width="13.1796875" bestFit="1" customWidth="1"/>
    <col min="8" max="8" width="21" bestFit="1" customWidth="1"/>
    <col min="9" max="9" width="13.6328125" bestFit="1" customWidth="1"/>
    <col min="10" max="10" width="20.7265625" bestFit="1" customWidth="1"/>
    <col min="11" max="11" width="22.81640625" bestFit="1" customWidth="1"/>
    <col min="12" max="12" width="22.08984375" bestFit="1" customWidth="1"/>
    <col min="13" max="13" width="22.26953125" bestFit="1" customWidth="1"/>
    <col min="14" max="15" width="21.81640625" bestFit="1" customWidth="1"/>
    <col min="16" max="16" width="19.453125" bestFit="1" customWidth="1"/>
    <col min="17" max="17" width="18.54296875" bestFit="1" customWidth="1"/>
    <col min="18" max="19" width="10.1796875" bestFit="1" customWidth="1"/>
    <col min="20" max="20" width="11.1796875" bestFit="1" customWidth="1"/>
    <col min="21" max="21" width="13.1796875" customWidth="1"/>
  </cols>
  <sheetData>
    <row r="1" spans="1:20" x14ac:dyDescent="0.35">
      <c r="A1" s="6" t="s">
        <v>0</v>
      </c>
      <c r="B1" s="3" t="s">
        <v>1</v>
      </c>
      <c r="C1" s="3" t="s">
        <v>4</v>
      </c>
      <c r="D1" s="3" t="s">
        <v>2</v>
      </c>
      <c r="E1" s="3" t="s">
        <v>313</v>
      </c>
      <c r="F1" s="3" t="s">
        <v>315</v>
      </c>
      <c r="G1" s="3" t="s">
        <v>316</v>
      </c>
      <c r="H1" s="3" t="s">
        <v>314</v>
      </c>
      <c r="I1" s="3" t="s">
        <v>116</v>
      </c>
      <c r="J1" s="3" t="s">
        <v>317</v>
      </c>
      <c r="K1" s="4" t="s">
        <v>303</v>
      </c>
      <c r="L1" s="4" t="s">
        <v>304</v>
      </c>
      <c r="M1" s="4" t="s">
        <v>305</v>
      </c>
      <c r="N1" s="4" t="s">
        <v>306</v>
      </c>
      <c r="O1" s="4" t="s">
        <v>307</v>
      </c>
      <c r="P1" s="4" t="s">
        <v>308</v>
      </c>
      <c r="Q1" s="4" t="s">
        <v>309</v>
      </c>
      <c r="R1" s="4" t="s">
        <v>310</v>
      </c>
      <c r="S1" s="4" t="s">
        <v>311</v>
      </c>
      <c r="T1" s="4" t="s">
        <v>312</v>
      </c>
    </row>
    <row r="2" spans="1:20" ht="29" hidden="1" x14ac:dyDescent="0.35">
      <c r="A2" s="7">
        <v>1</v>
      </c>
      <c r="B2" s="2" t="s">
        <v>3</v>
      </c>
      <c r="C2" s="2">
        <v>50</v>
      </c>
      <c r="D2" s="2">
        <v>29</v>
      </c>
      <c r="E2" s="2"/>
      <c r="F2" s="5">
        <v>46446</v>
      </c>
      <c r="G2" s="5"/>
      <c r="H2" s="5">
        <v>46446</v>
      </c>
      <c r="I2" s="7">
        <f>COUNTA(K2:T2)</f>
        <v>7</v>
      </c>
      <c r="J2" s="7" t="s">
        <v>322</v>
      </c>
      <c r="K2" s="9" t="s">
        <v>31</v>
      </c>
      <c r="L2" s="9" t="s">
        <v>32</v>
      </c>
      <c r="M2" s="9" t="s">
        <v>33</v>
      </c>
      <c r="N2" s="9" t="s">
        <v>34</v>
      </c>
      <c r="O2" s="9" t="s">
        <v>35</v>
      </c>
      <c r="P2" s="9" t="s">
        <v>36</v>
      </c>
      <c r="Q2" s="9" t="s">
        <v>37</v>
      </c>
      <c r="R2" s="9"/>
      <c r="S2" s="9"/>
      <c r="T2" s="9"/>
    </row>
    <row r="3" spans="1:20" ht="29" hidden="1" x14ac:dyDescent="0.35">
      <c r="A3" s="7">
        <v>2</v>
      </c>
      <c r="B3" s="2" t="s">
        <v>5</v>
      </c>
      <c r="C3" s="2">
        <v>12</v>
      </c>
      <c r="D3" s="2">
        <v>29</v>
      </c>
      <c r="E3" s="2"/>
      <c r="F3" s="5">
        <v>46477</v>
      </c>
      <c r="G3" s="5"/>
      <c r="H3" s="5">
        <v>46477</v>
      </c>
      <c r="I3" s="7">
        <f t="shared" ref="I3:I30" si="0">COUNTA(K3:T3)</f>
        <v>5</v>
      </c>
      <c r="J3" s="7" t="s">
        <v>323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/>
      <c r="Q3" s="9"/>
      <c r="R3" s="9"/>
      <c r="S3" s="9"/>
      <c r="T3" s="9"/>
    </row>
    <row r="4" spans="1:20" ht="29" hidden="1" x14ac:dyDescent="0.35">
      <c r="A4" s="7">
        <v>3</v>
      </c>
      <c r="B4" s="2" t="s">
        <v>6</v>
      </c>
      <c r="C4" s="2">
        <v>11</v>
      </c>
      <c r="D4" s="2">
        <v>31</v>
      </c>
      <c r="E4" s="2"/>
      <c r="F4" s="5">
        <v>46477</v>
      </c>
      <c r="G4" s="5"/>
      <c r="H4" s="5">
        <v>46477</v>
      </c>
      <c r="I4" s="7">
        <f t="shared" si="0"/>
        <v>5</v>
      </c>
      <c r="J4" s="7" t="s">
        <v>324</v>
      </c>
      <c r="K4" s="9" t="s">
        <v>43</v>
      </c>
      <c r="L4" s="9" t="s">
        <v>44</v>
      </c>
      <c r="M4" s="9" t="s">
        <v>45</v>
      </c>
      <c r="N4" s="9" t="s">
        <v>46</v>
      </c>
      <c r="O4" s="9" t="s">
        <v>47</v>
      </c>
      <c r="P4" s="9"/>
      <c r="Q4" s="9"/>
      <c r="R4" s="9"/>
      <c r="S4" s="9"/>
      <c r="T4" s="9"/>
    </row>
    <row r="5" spans="1:20" hidden="1" x14ac:dyDescent="0.35">
      <c r="A5" s="7">
        <v>4</v>
      </c>
      <c r="B5" s="2" t="s">
        <v>7</v>
      </c>
      <c r="C5" s="2">
        <v>10</v>
      </c>
      <c r="D5" s="2">
        <v>31</v>
      </c>
      <c r="E5" s="2"/>
      <c r="F5" s="5">
        <v>46507</v>
      </c>
      <c r="G5" s="5"/>
      <c r="H5" s="5">
        <v>46507</v>
      </c>
      <c r="I5" s="7">
        <f t="shared" si="0"/>
        <v>3</v>
      </c>
      <c r="J5" s="7" t="s">
        <v>325</v>
      </c>
      <c r="K5" s="9" t="s">
        <v>48</v>
      </c>
      <c r="L5" s="9" t="s">
        <v>49</v>
      </c>
      <c r="M5" s="9" t="s">
        <v>50</v>
      </c>
      <c r="N5" s="9"/>
      <c r="O5" s="9"/>
      <c r="P5" s="9"/>
      <c r="Q5" s="9"/>
      <c r="R5" s="9"/>
      <c r="S5" s="9"/>
      <c r="T5" s="9"/>
    </row>
    <row r="6" spans="1:20" ht="29" hidden="1" x14ac:dyDescent="0.35">
      <c r="A6" s="7">
        <v>5</v>
      </c>
      <c r="B6" s="2" t="s">
        <v>8</v>
      </c>
      <c r="C6" s="2">
        <v>2</v>
      </c>
      <c r="D6" s="2">
        <v>36</v>
      </c>
      <c r="E6" s="2"/>
      <c r="F6" s="5">
        <v>46387</v>
      </c>
      <c r="G6" s="5"/>
      <c r="H6" s="5">
        <v>46721</v>
      </c>
      <c r="I6" s="7">
        <f t="shared" si="0"/>
        <v>4</v>
      </c>
      <c r="J6" s="7" t="s">
        <v>326</v>
      </c>
      <c r="K6" s="9" t="s">
        <v>51</v>
      </c>
      <c r="L6" s="9" t="s">
        <v>52</v>
      </c>
      <c r="M6" s="9" t="s">
        <v>53</v>
      </c>
      <c r="N6" s="9" t="s">
        <v>54</v>
      </c>
      <c r="O6" s="9"/>
      <c r="P6" s="9"/>
      <c r="Q6" s="9"/>
      <c r="R6" s="9"/>
      <c r="S6" s="9"/>
      <c r="T6" s="9"/>
    </row>
    <row r="7" spans="1:20" hidden="1" x14ac:dyDescent="0.35">
      <c r="A7" s="7">
        <v>6</v>
      </c>
      <c r="B7" s="2" t="s">
        <v>9</v>
      </c>
      <c r="C7" s="2">
        <v>6</v>
      </c>
      <c r="D7" s="2">
        <v>31</v>
      </c>
      <c r="E7" s="2"/>
      <c r="F7" s="5">
        <v>46752</v>
      </c>
      <c r="G7" s="5"/>
      <c r="H7" s="5">
        <v>46538</v>
      </c>
      <c r="I7" s="7">
        <f t="shared" si="0"/>
        <v>2</v>
      </c>
      <c r="J7" s="7" t="s">
        <v>327</v>
      </c>
      <c r="K7" s="9" t="s">
        <v>55</v>
      </c>
      <c r="L7" s="9" t="s">
        <v>56</v>
      </c>
      <c r="M7" s="9"/>
      <c r="N7" s="9"/>
      <c r="O7" s="9"/>
      <c r="P7" s="9"/>
      <c r="Q7" s="9"/>
      <c r="R7" s="9"/>
      <c r="S7" s="9"/>
      <c r="T7" s="9"/>
    </row>
    <row r="8" spans="1:20" hidden="1" x14ac:dyDescent="0.35">
      <c r="A8" s="7">
        <v>7</v>
      </c>
      <c r="B8" s="2" t="s">
        <v>10</v>
      </c>
      <c r="C8" s="2">
        <v>1</v>
      </c>
      <c r="D8" s="2">
        <v>29</v>
      </c>
      <c r="E8" s="2"/>
      <c r="F8" s="5">
        <v>46507</v>
      </c>
      <c r="G8" s="5"/>
      <c r="H8" s="5">
        <v>46446</v>
      </c>
      <c r="I8" s="7">
        <f t="shared" si="0"/>
        <v>1</v>
      </c>
      <c r="J8" s="7" t="s">
        <v>327</v>
      </c>
      <c r="K8" s="9" t="s">
        <v>57</v>
      </c>
      <c r="L8" s="9"/>
      <c r="M8" s="9"/>
      <c r="N8" s="9"/>
      <c r="O8" s="9"/>
      <c r="P8" s="9"/>
      <c r="Q8" s="9"/>
      <c r="R8" s="9"/>
      <c r="S8" s="9"/>
      <c r="T8" s="9"/>
    </row>
    <row r="9" spans="1:20" ht="29" hidden="1" x14ac:dyDescent="0.35">
      <c r="A9" s="7">
        <v>8</v>
      </c>
      <c r="B9" s="2" t="s">
        <v>11</v>
      </c>
      <c r="C9" s="2">
        <v>19</v>
      </c>
      <c r="D9" s="2">
        <v>32</v>
      </c>
      <c r="E9" s="2"/>
      <c r="F9" s="5">
        <v>46811</v>
      </c>
      <c r="G9" s="5"/>
      <c r="H9" s="5">
        <v>46736</v>
      </c>
      <c r="I9" s="7">
        <f t="shared" si="0"/>
        <v>3</v>
      </c>
      <c r="J9" s="7" t="s">
        <v>325</v>
      </c>
      <c r="K9" s="9" t="s">
        <v>58</v>
      </c>
      <c r="L9" s="9" t="s">
        <v>59</v>
      </c>
      <c r="M9" s="9" t="s">
        <v>60</v>
      </c>
      <c r="N9" s="9"/>
      <c r="O9" s="9"/>
      <c r="P9" s="9"/>
      <c r="Q9" s="9"/>
      <c r="R9" s="9"/>
      <c r="S9" s="9"/>
      <c r="T9" s="9"/>
    </row>
    <row r="10" spans="1:20" hidden="1" x14ac:dyDescent="0.35">
      <c r="A10" s="7">
        <v>9</v>
      </c>
      <c r="B10" s="2" t="s">
        <v>12</v>
      </c>
      <c r="C10" s="2">
        <v>1</v>
      </c>
      <c r="D10" s="2"/>
      <c r="E10" s="2"/>
      <c r="F10" s="5"/>
      <c r="G10" s="5"/>
      <c r="H10" s="5"/>
      <c r="I10" s="7">
        <f t="shared" si="0"/>
        <v>1</v>
      </c>
      <c r="J10" s="7" t="s">
        <v>325</v>
      </c>
      <c r="K10" s="9" t="s">
        <v>61</v>
      </c>
      <c r="L10" s="9"/>
      <c r="M10" s="9"/>
      <c r="N10" s="9"/>
      <c r="O10" s="9"/>
      <c r="P10" s="9"/>
      <c r="Q10" s="9"/>
      <c r="R10" s="9"/>
      <c r="S10" s="9"/>
      <c r="T10" s="9"/>
    </row>
    <row r="11" spans="1:20" ht="29" hidden="1" x14ac:dyDescent="0.35">
      <c r="A11" s="7">
        <v>10</v>
      </c>
      <c r="B11" s="2" t="s">
        <v>13</v>
      </c>
      <c r="C11" s="2">
        <v>6</v>
      </c>
      <c r="D11" s="2">
        <v>36</v>
      </c>
      <c r="E11" s="2"/>
      <c r="F11" s="5">
        <v>46203</v>
      </c>
      <c r="G11" s="5"/>
      <c r="H11" s="5">
        <v>46203</v>
      </c>
      <c r="I11" s="7">
        <f t="shared" si="0"/>
        <v>5</v>
      </c>
      <c r="J11" s="7" t="s">
        <v>328</v>
      </c>
      <c r="K11" s="9" t="s">
        <v>62</v>
      </c>
      <c r="L11" s="9" t="s">
        <v>63</v>
      </c>
      <c r="M11" s="9" t="s">
        <v>64</v>
      </c>
      <c r="N11" s="9" t="s">
        <v>65</v>
      </c>
      <c r="O11" s="9" t="s">
        <v>66</v>
      </c>
      <c r="P11" s="9"/>
      <c r="Q11" s="9"/>
      <c r="R11" s="9"/>
      <c r="S11" s="9"/>
      <c r="T11" s="9"/>
    </row>
    <row r="12" spans="1:20" ht="29" hidden="1" x14ac:dyDescent="0.35">
      <c r="A12" s="7">
        <v>11</v>
      </c>
      <c r="B12" s="2" t="s">
        <v>14</v>
      </c>
      <c r="C12" s="2">
        <v>10</v>
      </c>
      <c r="D12" s="2">
        <v>38</v>
      </c>
      <c r="E12" s="2"/>
      <c r="F12" s="5">
        <v>46386</v>
      </c>
      <c r="G12" s="5"/>
      <c r="H12" s="5">
        <v>46356</v>
      </c>
      <c r="I12" s="7">
        <f t="shared" si="0"/>
        <v>5</v>
      </c>
      <c r="J12" s="7" t="s">
        <v>328</v>
      </c>
      <c r="K12" s="9" t="s">
        <v>67</v>
      </c>
      <c r="L12" s="9" t="s">
        <v>68</v>
      </c>
      <c r="M12" s="9" t="s">
        <v>69</v>
      </c>
      <c r="N12" s="9" t="s">
        <v>70</v>
      </c>
      <c r="O12" s="9" t="s">
        <v>71</v>
      </c>
      <c r="P12" s="9"/>
      <c r="Q12" s="9"/>
      <c r="R12" s="9"/>
      <c r="S12" s="9"/>
      <c r="T12" s="9"/>
    </row>
    <row r="13" spans="1:20" ht="29" hidden="1" x14ac:dyDescent="0.35">
      <c r="A13" s="7">
        <v>12</v>
      </c>
      <c r="B13" s="2" t="s">
        <v>15</v>
      </c>
      <c r="C13" s="2">
        <v>16</v>
      </c>
      <c r="D13" s="2">
        <v>29</v>
      </c>
      <c r="E13" s="2"/>
      <c r="F13" s="5">
        <v>46402</v>
      </c>
      <c r="G13" s="5"/>
      <c r="H13" s="5">
        <v>46371</v>
      </c>
      <c r="I13" s="7">
        <f t="shared" si="0"/>
        <v>4</v>
      </c>
      <c r="J13" s="7" t="s">
        <v>327</v>
      </c>
      <c r="K13" s="9" t="s">
        <v>72</v>
      </c>
      <c r="L13" s="9" t="s">
        <v>73</v>
      </c>
      <c r="M13" s="9" t="s">
        <v>75</v>
      </c>
      <c r="N13" s="9" t="s">
        <v>74</v>
      </c>
      <c r="O13" s="9"/>
      <c r="P13" s="9"/>
      <c r="Q13" s="9"/>
      <c r="R13" s="9"/>
      <c r="S13" s="9"/>
      <c r="T13" s="9"/>
    </row>
    <row r="14" spans="1:20" ht="29" hidden="1" x14ac:dyDescent="0.35">
      <c r="A14" s="7">
        <v>13</v>
      </c>
      <c r="B14" s="2" t="s">
        <v>16</v>
      </c>
      <c r="C14" s="2">
        <v>3</v>
      </c>
      <c r="D14" s="2">
        <v>23</v>
      </c>
      <c r="E14" s="2"/>
      <c r="F14" s="5">
        <v>46476</v>
      </c>
      <c r="G14" s="5"/>
      <c r="H14" s="5">
        <v>46477</v>
      </c>
      <c r="I14" s="7">
        <f t="shared" si="0"/>
        <v>1</v>
      </c>
      <c r="J14" s="7" t="s">
        <v>322</v>
      </c>
      <c r="K14" s="9" t="s">
        <v>76</v>
      </c>
      <c r="L14" s="9"/>
      <c r="M14" s="9"/>
      <c r="N14" s="9"/>
      <c r="O14" s="9"/>
      <c r="P14" s="9"/>
      <c r="Q14" s="9"/>
      <c r="R14" s="9"/>
      <c r="S14" s="9"/>
      <c r="T14" s="9"/>
    </row>
    <row r="15" spans="1:20" ht="29" hidden="1" x14ac:dyDescent="0.35">
      <c r="A15" s="7">
        <v>14</v>
      </c>
      <c r="B15" s="2" t="s">
        <v>17</v>
      </c>
      <c r="C15" s="2">
        <v>9</v>
      </c>
      <c r="D15" s="2">
        <v>36</v>
      </c>
      <c r="E15" s="2"/>
      <c r="F15" s="5">
        <v>46387</v>
      </c>
      <c r="G15" s="5"/>
      <c r="H15" s="5">
        <v>46356</v>
      </c>
      <c r="I15" s="7">
        <f t="shared" si="0"/>
        <v>1</v>
      </c>
      <c r="J15" s="7" t="s">
        <v>322</v>
      </c>
      <c r="K15" s="9" t="s">
        <v>77</v>
      </c>
      <c r="L15" s="9"/>
      <c r="M15" s="9"/>
      <c r="N15" s="9"/>
      <c r="O15" s="9"/>
      <c r="P15" s="9"/>
      <c r="Q15" s="9"/>
      <c r="R15" s="9"/>
      <c r="S15" s="9"/>
      <c r="T15" s="9"/>
    </row>
    <row r="16" spans="1:20" hidden="1" x14ac:dyDescent="0.35">
      <c r="A16" s="7">
        <v>15</v>
      </c>
      <c r="B16" s="2" t="s">
        <v>18</v>
      </c>
      <c r="C16" s="2">
        <v>4</v>
      </c>
      <c r="D16" s="2">
        <v>26</v>
      </c>
      <c r="E16" s="2"/>
      <c r="F16" s="5">
        <v>46418</v>
      </c>
      <c r="G16" s="5"/>
      <c r="H16" s="5">
        <v>46418</v>
      </c>
      <c r="I16" s="7">
        <f t="shared" si="0"/>
        <v>3</v>
      </c>
      <c r="J16" s="7" t="s">
        <v>326</v>
      </c>
      <c r="K16" s="9" t="s">
        <v>78</v>
      </c>
      <c r="L16" s="9" t="s">
        <v>80</v>
      </c>
      <c r="M16" s="9" t="s">
        <v>79</v>
      </c>
      <c r="N16" s="9"/>
      <c r="O16" s="9"/>
      <c r="P16" s="9"/>
      <c r="Q16" s="9"/>
      <c r="R16" s="9"/>
      <c r="S16" s="9"/>
      <c r="T16" s="9"/>
    </row>
    <row r="17" spans="1:20" ht="29" hidden="1" x14ac:dyDescent="0.35">
      <c r="A17" s="7">
        <v>16</v>
      </c>
      <c r="B17" s="2" t="s">
        <v>19</v>
      </c>
      <c r="C17" s="2">
        <v>34</v>
      </c>
      <c r="D17" s="2">
        <v>44</v>
      </c>
      <c r="E17" s="2"/>
      <c r="F17" s="5">
        <v>47238</v>
      </c>
      <c r="G17" s="5"/>
      <c r="H17" s="5">
        <v>47238</v>
      </c>
      <c r="I17" s="7">
        <f t="shared" si="0"/>
        <v>4</v>
      </c>
      <c r="J17" s="7" t="s">
        <v>329</v>
      </c>
      <c r="K17" s="9" t="s">
        <v>81</v>
      </c>
      <c r="L17" s="9" t="s">
        <v>82</v>
      </c>
      <c r="M17" s="9" t="s">
        <v>83</v>
      </c>
      <c r="N17" s="9" t="s">
        <v>84</v>
      </c>
      <c r="O17" s="9"/>
      <c r="P17" s="9"/>
      <c r="Q17" s="9"/>
      <c r="R17" s="9"/>
      <c r="S17" s="9"/>
      <c r="T17" s="9"/>
    </row>
    <row r="18" spans="1:20" hidden="1" x14ac:dyDescent="0.35">
      <c r="A18" s="7">
        <v>17</v>
      </c>
      <c r="B18" s="2" t="s">
        <v>20</v>
      </c>
      <c r="C18" s="2">
        <v>1</v>
      </c>
      <c r="D18" s="2">
        <v>32</v>
      </c>
      <c r="E18" s="2"/>
      <c r="F18" s="5">
        <v>46142</v>
      </c>
      <c r="G18" s="5"/>
      <c r="H18" s="5">
        <v>46142</v>
      </c>
      <c r="I18" s="7">
        <f t="shared" si="0"/>
        <v>2</v>
      </c>
      <c r="J18" s="7" t="s">
        <v>327</v>
      </c>
      <c r="K18" s="9" t="s">
        <v>85</v>
      </c>
      <c r="L18" s="9" t="s">
        <v>86</v>
      </c>
      <c r="M18" s="9"/>
      <c r="N18" s="9"/>
      <c r="O18" s="9"/>
      <c r="P18" s="9"/>
      <c r="Q18" s="9"/>
      <c r="R18" s="9"/>
      <c r="S18" s="9"/>
      <c r="T18" s="9"/>
    </row>
    <row r="19" spans="1:20" hidden="1" x14ac:dyDescent="0.35">
      <c r="A19" s="7">
        <v>18</v>
      </c>
      <c r="B19" s="2" t="s">
        <v>21</v>
      </c>
      <c r="C19" s="2">
        <v>19</v>
      </c>
      <c r="D19" s="2"/>
      <c r="E19" s="2"/>
      <c r="F19" s="5">
        <v>46752</v>
      </c>
      <c r="G19" s="5"/>
      <c r="H19" s="5">
        <v>46765</v>
      </c>
      <c r="I19" s="7">
        <f t="shared" si="0"/>
        <v>3</v>
      </c>
      <c r="J19" s="7" t="s">
        <v>330</v>
      </c>
      <c r="K19" s="9" t="s">
        <v>87</v>
      </c>
      <c r="L19" s="9" t="s">
        <v>88</v>
      </c>
      <c r="M19" s="9" t="s">
        <v>89</v>
      </c>
      <c r="N19" s="9"/>
      <c r="O19" s="9"/>
      <c r="P19" s="9"/>
      <c r="Q19" s="9"/>
      <c r="R19" s="9"/>
      <c r="S19" s="9"/>
      <c r="T19" s="9"/>
    </row>
    <row r="20" spans="1:20" ht="29" hidden="1" x14ac:dyDescent="0.35">
      <c r="A20" s="7">
        <v>19</v>
      </c>
      <c r="B20" s="2" t="s">
        <v>22</v>
      </c>
      <c r="C20" s="2">
        <v>16</v>
      </c>
      <c r="D20" s="2"/>
      <c r="E20" s="2"/>
      <c r="F20" s="5"/>
      <c r="G20" s="5"/>
      <c r="H20" s="5"/>
      <c r="I20" s="7">
        <f t="shared" si="0"/>
        <v>2</v>
      </c>
      <c r="J20" s="7" t="s">
        <v>330</v>
      </c>
      <c r="K20" s="9" t="s">
        <v>90</v>
      </c>
      <c r="L20" s="9" t="s">
        <v>91</v>
      </c>
      <c r="M20" s="9"/>
      <c r="N20" s="9"/>
      <c r="O20" s="9"/>
      <c r="P20" s="9"/>
      <c r="Q20" s="9"/>
      <c r="R20" s="9"/>
      <c r="S20" s="9"/>
      <c r="T20" s="9"/>
    </row>
    <row r="21" spans="1:20" ht="29" hidden="1" x14ac:dyDescent="0.35">
      <c r="A21" s="7">
        <v>20</v>
      </c>
      <c r="B21" s="2" t="s">
        <v>320</v>
      </c>
      <c r="C21" s="2">
        <v>1</v>
      </c>
      <c r="D21" s="2"/>
      <c r="E21" s="2"/>
      <c r="F21" s="5"/>
      <c r="G21" s="5"/>
      <c r="H21" s="5"/>
      <c r="I21" s="7">
        <f t="shared" si="0"/>
        <v>1</v>
      </c>
      <c r="J21" s="7" t="s">
        <v>330</v>
      </c>
      <c r="K21" s="9" t="s">
        <v>92</v>
      </c>
      <c r="L21" s="9"/>
      <c r="M21" s="9"/>
      <c r="N21" s="9"/>
      <c r="O21" s="9"/>
      <c r="P21" s="9"/>
      <c r="Q21" s="9"/>
      <c r="R21" s="9"/>
      <c r="S21" s="9"/>
      <c r="T21" s="9"/>
    </row>
    <row r="22" spans="1:20" ht="29" hidden="1" x14ac:dyDescent="0.35">
      <c r="A22" s="7">
        <v>21</v>
      </c>
      <c r="B22" s="2" t="s">
        <v>321</v>
      </c>
      <c r="C22" s="2">
        <v>1</v>
      </c>
      <c r="D22" s="2"/>
      <c r="E22" s="2"/>
      <c r="F22" s="5"/>
      <c r="G22" s="5"/>
      <c r="H22" s="5"/>
      <c r="I22" s="7">
        <f t="shared" si="0"/>
        <v>1</v>
      </c>
      <c r="J22" s="7" t="s">
        <v>330</v>
      </c>
      <c r="K22" s="9" t="s">
        <v>93</v>
      </c>
      <c r="L22" s="9"/>
      <c r="M22" s="9"/>
      <c r="N22" s="9"/>
      <c r="O22" s="9"/>
      <c r="P22" s="9"/>
      <c r="Q22" s="9"/>
      <c r="R22" s="9"/>
      <c r="S22" s="9"/>
      <c r="T22" s="9"/>
    </row>
    <row r="23" spans="1:20" ht="29" hidden="1" x14ac:dyDescent="0.35">
      <c r="A23" s="7">
        <v>22</v>
      </c>
      <c r="B23" s="2" t="s">
        <v>23</v>
      </c>
      <c r="C23" s="2"/>
      <c r="D23" s="2">
        <v>33</v>
      </c>
      <c r="E23" s="2"/>
      <c r="F23" s="5">
        <v>47208</v>
      </c>
      <c r="G23" s="5"/>
      <c r="H23" s="5">
        <v>47238</v>
      </c>
      <c r="I23" s="7">
        <f t="shared" si="0"/>
        <v>3</v>
      </c>
      <c r="J23" s="7" t="s">
        <v>327</v>
      </c>
      <c r="K23" s="9" t="s">
        <v>94</v>
      </c>
      <c r="L23" s="9" t="s">
        <v>95</v>
      </c>
      <c r="M23" s="9" t="s">
        <v>96</v>
      </c>
      <c r="N23" s="9"/>
      <c r="O23" s="9"/>
      <c r="P23" s="9"/>
      <c r="Q23" s="9"/>
      <c r="R23" s="9"/>
      <c r="S23" s="9"/>
      <c r="T23" s="9"/>
    </row>
    <row r="24" spans="1:20" ht="29" hidden="1" x14ac:dyDescent="0.35">
      <c r="A24" s="7">
        <v>23</v>
      </c>
      <c r="B24" s="2" t="s">
        <v>24</v>
      </c>
      <c r="C24" s="2">
        <v>8</v>
      </c>
      <c r="D24" s="2"/>
      <c r="E24" s="2"/>
      <c r="F24" s="5"/>
      <c r="G24" s="5"/>
      <c r="H24" s="5">
        <v>47149</v>
      </c>
      <c r="I24" s="7">
        <f t="shared" si="0"/>
        <v>2</v>
      </c>
      <c r="J24" s="7" t="s">
        <v>331</v>
      </c>
      <c r="K24" s="9" t="s">
        <v>97</v>
      </c>
      <c r="L24" s="9" t="s">
        <v>98</v>
      </c>
      <c r="M24" s="9"/>
      <c r="N24" s="9"/>
      <c r="O24" s="9"/>
      <c r="P24" s="9"/>
      <c r="Q24" s="9"/>
      <c r="R24" s="9"/>
      <c r="S24" s="9"/>
      <c r="T24" s="9"/>
    </row>
    <row r="25" spans="1:20" hidden="1" x14ac:dyDescent="0.35">
      <c r="A25" s="7">
        <v>24</v>
      </c>
      <c r="B25" s="2" t="s">
        <v>25</v>
      </c>
      <c r="C25" s="2">
        <v>2</v>
      </c>
      <c r="D25" s="2">
        <v>28</v>
      </c>
      <c r="E25" s="2"/>
      <c r="F25" s="5">
        <v>47149</v>
      </c>
      <c r="G25" s="5"/>
      <c r="H25" s="5">
        <v>47118</v>
      </c>
      <c r="I25" s="7">
        <f t="shared" si="0"/>
        <v>1</v>
      </c>
      <c r="J25" s="7" t="s">
        <v>331</v>
      </c>
      <c r="K25" s="9" t="s">
        <v>99</v>
      </c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5">
      <c r="A26" s="7">
        <v>25</v>
      </c>
      <c r="B26" s="2" t="s">
        <v>26</v>
      </c>
      <c r="C26" s="2">
        <v>4</v>
      </c>
      <c r="D26" s="2">
        <v>24</v>
      </c>
      <c r="E26" s="2"/>
      <c r="F26" s="5">
        <v>46811</v>
      </c>
      <c r="G26" s="5"/>
      <c r="H26" s="5">
        <v>46811</v>
      </c>
      <c r="I26" s="7">
        <f t="shared" si="0"/>
        <v>1</v>
      </c>
      <c r="J26" s="7" t="s">
        <v>332</v>
      </c>
      <c r="K26" s="9" t="s">
        <v>100</v>
      </c>
      <c r="L26" s="9"/>
      <c r="M26" s="9"/>
      <c r="N26" s="9"/>
      <c r="O26" s="9"/>
      <c r="P26" s="9"/>
      <c r="Q26" s="9"/>
      <c r="R26" s="9"/>
      <c r="S26" s="9"/>
      <c r="T26" s="9"/>
    </row>
    <row r="27" spans="1:20" ht="29" hidden="1" x14ac:dyDescent="0.35">
      <c r="A27" s="7">
        <v>26</v>
      </c>
      <c r="B27" s="2" t="s">
        <v>27</v>
      </c>
      <c r="C27" s="2">
        <v>18</v>
      </c>
      <c r="D27" s="2"/>
      <c r="E27" s="2"/>
      <c r="F27" s="5"/>
      <c r="G27" s="5"/>
      <c r="H27" s="5">
        <v>46203</v>
      </c>
      <c r="I27" s="7">
        <f t="shared" si="0"/>
        <v>7</v>
      </c>
      <c r="J27" s="7" t="s">
        <v>328</v>
      </c>
      <c r="K27" s="9" t="s">
        <v>101</v>
      </c>
      <c r="L27" s="9" t="s">
        <v>102</v>
      </c>
      <c r="M27" s="9" t="s">
        <v>103</v>
      </c>
      <c r="N27" s="9" t="s">
        <v>104</v>
      </c>
      <c r="O27" s="9" t="s">
        <v>105</v>
      </c>
      <c r="P27" s="9" t="s">
        <v>106</v>
      </c>
      <c r="Q27" s="9" t="s">
        <v>107</v>
      </c>
      <c r="R27" s="9"/>
      <c r="S27" s="9"/>
      <c r="T27" s="9"/>
    </row>
    <row r="28" spans="1:20" ht="29" hidden="1" x14ac:dyDescent="0.35">
      <c r="A28" s="7">
        <v>27</v>
      </c>
      <c r="B28" s="2" t="s">
        <v>28</v>
      </c>
      <c r="C28" s="2">
        <v>18</v>
      </c>
      <c r="D28" s="2"/>
      <c r="E28" s="2"/>
      <c r="F28" s="5"/>
      <c r="G28" s="5"/>
      <c r="H28" s="5">
        <v>46203</v>
      </c>
      <c r="I28" s="7">
        <f t="shared" si="0"/>
        <v>6</v>
      </c>
      <c r="J28" s="7" t="s">
        <v>322</v>
      </c>
      <c r="K28" s="9" t="s">
        <v>108</v>
      </c>
      <c r="L28" s="9" t="s">
        <v>109</v>
      </c>
      <c r="M28" s="9" t="s">
        <v>110</v>
      </c>
      <c r="N28" s="9" t="s">
        <v>111</v>
      </c>
      <c r="O28" s="9" t="s">
        <v>112</v>
      </c>
      <c r="P28" s="9" t="s">
        <v>113</v>
      </c>
      <c r="Q28" s="9"/>
      <c r="R28" s="9"/>
      <c r="S28" s="9"/>
      <c r="T28" s="9"/>
    </row>
    <row r="29" spans="1:20" hidden="1" x14ac:dyDescent="0.35">
      <c r="A29" s="7">
        <v>28</v>
      </c>
      <c r="B29" s="2" t="s">
        <v>29</v>
      </c>
      <c r="C29" s="2">
        <v>14</v>
      </c>
      <c r="D29" s="2"/>
      <c r="E29" s="2"/>
      <c r="F29" s="5"/>
      <c r="G29" s="5"/>
      <c r="H29" s="5"/>
      <c r="I29" s="7">
        <f t="shared" si="0"/>
        <v>1</v>
      </c>
      <c r="J29" s="7" t="s">
        <v>330</v>
      </c>
      <c r="K29" s="9" t="s">
        <v>114</v>
      </c>
      <c r="L29" s="9"/>
      <c r="M29" s="9"/>
      <c r="N29" s="9"/>
      <c r="O29" s="9"/>
      <c r="P29" s="9"/>
      <c r="Q29" s="9"/>
      <c r="R29" s="9"/>
      <c r="S29" s="9"/>
      <c r="T29" s="9"/>
    </row>
    <row r="30" spans="1:20" ht="29" hidden="1" x14ac:dyDescent="0.35">
      <c r="A30" s="7">
        <v>29</v>
      </c>
      <c r="B30" s="2" t="s">
        <v>30</v>
      </c>
      <c r="C30" s="2">
        <v>54</v>
      </c>
      <c r="D30" s="2"/>
      <c r="E30" s="2"/>
      <c r="F30" s="5"/>
      <c r="G30" s="5"/>
      <c r="H30" s="5"/>
      <c r="I30" s="7">
        <f t="shared" si="0"/>
        <v>1</v>
      </c>
      <c r="J30" s="7" t="s">
        <v>322</v>
      </c>
      <c r="K30" s="9" t="s">
        <v>115</v>
      </c>
      <c r="L30" s="9"/>
      <c r="M30" s="9"/>
      <c r="N30" s="9"/>
      <c r="O30" s="9"/>
      <c r="P30" s="9"/>
      <c r="Q30" s="9"/>
      <c r="R30" s="9"/>
      <c r="S30" s="9"/>
      <c r="T30" s="9"/>
    </row>
    <row r="31" spans="1:20" hidden="1" x14ac:dyDescent="0.35">
      <c r="A31" s="7">
        <v>30</v>
      </c>
      <c r="B31" s="2" t="s">
        <v>318</v>
      </c>
      <c r="C31" s="2">
        <v>35</v>
      </c>
      <c r="D31" s="2"/>
      <c r="E31" s="2"/>
      <c r="F31" s="5"/>
      <c r="G31" s="5"/>
      <c r="H31" s="5"/>
      <c r="I31" s="7"/>
      <c r="J31" s="7" t="s">
        <v>137</v>
      </c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hidden="1" x14ac:dyDescent="0.35">
      <c r="A32" s="7">
        <v>31</v>
      </c>
      <c r="B32" s="2" t="s">
        <v>319</v>
      </c>
      <c r="C32" s="2">
        <v>47</v>
      </c>
      <c r="D32" s="2"/>
      <c r="E32" s="2"/>
      <c r="F32" s="5"/>
      <c r="G32" s="5"/>
      <c r="H32" s="5"/>
      <c r="I32" s="7"/>
      <c r="J32" s="7" t="s">
        <v>322</v>
      </c>
      <c r="K32" s="9"/>
      <c r="L32" s="9"/>
      <c r="M32" s="9"/>
      <c r="N32" s="9"/>
      <c r="O32" s="9"/>
      <c r="P32" s="9"/>
      <c r="Q32" s="9"/>
      <c r="R32" s="9"/>
      <c r="S32" s="9"/>
      <c r="T32" s="9"/>
    </row>
  </sheetData>
  <autoFilter ref="A1:T32" xr:uid="{FEBA3E2D-ADCE-48FF-9B01-BE998886197D}">
    <filterColumn colId="9">
      <filters>
        <filter val="Bhiva Laxman Chavan"/>
      </filters>
    </filterColumn>
  </autoFilter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D4BFADE-F47F-4711-8F59-4DC971A3852B}">
          <x14:formula1>
            <xm:f>_xlfn._TRO_TRAILING(Master!M2:M98)</xm:f>
          </x14:formula1>
          <xm:sqref>R2:T30</xm:sqref>
        </x14:dataValidation>
        <x14:dataValidation type="list" allowBlank="1" showInputMessage="1" showErrorMessage="1" xr:uid="{567720B7-EE77-4CB3-821E-96F715E05034}">
          <x14:formula1>
            <xm:f>_xlfn._TRO_TRAILING(Master!$B$2:$B$139)</xm:f>
          </x14:formula1>
          <xm:sqref>K2:Q61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81D89-3A33-4D9D-8BE8-FE0A646481C2}">
  <dimension ref="A1:H98"/>
  <sheetViews>
    <sheetView showGridLines="0" tabSelected="1" workbookViewId="0">
      <pane ySplit="1" topLeftCell="A2" activePane="bottomLeft" state="frozen"/>
      <selection pane="bottomLeft" activeCell="B16" sqref="B16"/>
    </sheetView>
  </sheetViews>
  <sheetFormatPr defaultRowHeight="14.5" x14ac:dyDescent="0.35"/>
  <cols>
    <col min="1" max="1" width="12.7265625" bestFit="1" customWidth="1"/>
    <col min="2" max="2" width="33.26953125" customWidth="1"/>
    <col min="3" max="3" width="15" customWidth="1"/>
    <col min="4" max="4" width="15.54296875" customWidth="1"/>
    <col min="5" max="5" width="8.08984375" bestFit="1" customWidth="1"/>
    <col min="6" max="6" width="35.7265625" customWidth="1"/>
    <col min="7" max="7" width="19.7265625" customWidth="1"/>
    <col min="8" max="8" width="13.90625" bestFit="1" customWidth="1"/>
  </cols>
  <sheetData>
    <row r="1" spans="1:8" x14ac:dyDescent="0.35">
      <c r="A1" s="8" t="s">
        <v>199</v>
      </c>
      <c r="B1" s="8" t="s">
        <v>200</v>
      </c>
      <c r="C1" s="8" t="s">
        <v>201</v>
      </c>
      <c r="D1" s="8" t="s">
        <v>202</v>
      </c>
      <c r="E1" s="8" t="s">
        <v>203</v>
      </c>
      <c r="F1" s="8" t="s">
        <v>204</v>
      </c>
      <c r="G1" s="8" t="s">
        <v>205</v>
      </c>
      <c r="H1" s="8" t="s">
        <v>206</v>
      </c>
    </row>
    <row r="2" spans="1:8" x14ac:dyDescent="0.35">
      <c r="A2" t="s">
        <v>302</v>
      </c>
      <c r="B2" t="s">
        <v>117</v>
      </c>
      <c r="C2" s="1"/>
    </row>
    <row r="3" spans="1:8" x14ac:dyDescent="0.35">
      <c r="A3" t="s">
        <v>302</v>
      </c>
      <c r="B3" t="s">
        <v>118</v>
      </c>
      <c r="C3" s="1"/>
    </row>
    <row r="4" spans="1:8" x14ac:dyDescent="0.35">
      <c r="A4" t="s">
        <v>302</v>
      </c>
      <c r="B4" t="s">
        <v>112</v>
      </c>
      <c r="C4" s="1"/>
    </row>
    <row r="5" spans="1:8" x14ac:dyDescent="0.35">
      <c r="A5" t="s">
        <v>302</v>
      </c>
      <c r="B5" t="s">
        <v>61</v>
      </c>
      <c r="C5" s="1"/>
    </row>
    <row r="6" spans="1:8" x14ac:dyDescent="0.35">
      <c r="A6" t="s">
        <v>302</v>
      </c>
      <c r="B6" t="s">
        <v>119</v>
      </c>
      <c r="C6" s="1"/>
    </row>
    <row r="7" spans="1:8" x14ac:dyDescent="0.35">
      <c r="A7" t="s">
        <v>231</v>
      </c>
      <c r="B7" t="s">
        <v>120</v>
      </c>
      <c r="C7" s="1">
        <v>45630</v>
      </c>
      <c r="D7" t="s">
        <v>208</v>
      </c>
      <c r="E7" t="s">
        <v>209</v>
      </c>
      <c r="F7" t="s">
        <v>232</v>
      </c>
      <c r="G7" t="s">
        <v>211</v>
      </c>
      <c r="H7" t="s">
        <v>212</v>
      </c>
    </row>
    <row r="8" spans="1:8" x14ac:dyDescent="0.35">
      <c r="A8" t="s">
        <v>256</v>
      </c>
      <c r="B8" t="s">
        <v>121</v>
      </c>
      <c r="C8" s="1">
        <v>45750</v>
      </c>
      <c r="D8" t="s">
        <v>208</v>
      </c>
      <c r="E8" t="s">
        <v>209</v>
      </c>
      <c r="F8" t="s">
        <v>257</v>
      </c>
      <c r="G8" t="s">
        <v>211</v>
      </c>
      <c r="H8" t="s">
        <v>212</v>
      </c>
    </row>
    <row r="9" spans="1:8" x14ac:dyDescent="0.35">
      <c r="A9" t="s">
        <v>219</v>
      </c>
      <c r="B9" t="s">
        <v>122</v>
      </c>
      <c r="C9" s="1">
        <v>45173</v>
      </c>
      <c r="D9" t="s">
        <v>208</v>
      </c>
      <c r="E9" t="s">
        <v>209</v>
      </c>
      <c r="F9" t="s">
        <v>220</v>
      </c>
      <c r="G9" t="s">
        <v>211</v>
      </c>
      <c r="H9" t="s">
        <v>212</v>
      </c>
    </row>
    <row r="10" spans="1:8" x14ac:dyDescent="0.35">
      <c r="A10" t="s">
        <v>288</v>
      </c>
      <c r="B10" t="s">
        <v>123</v>
      </c>
      <c r="C10" s="1">
        <v>45293</v>
      </c>
      <c r="D10" t="s">
        <v>208</v>
      </c>
      <c r="E10" t="s">
        <v>209</v>
      </c>
      <c r="F10" t="s">
        <v>210</v>
      </c>
      <c r="G10" t="s">
        <v>211</v>
      </c>
      <c r="H10" t="s">
        <v>212</v>
      </c>
    </row>
    <row r="11" spans="1:8" x14ac:dyDescent="0.35">
      <c r="A11" t="s">
        <v>295</v>
      </c>
      <c r="B11" t="s">
        <v>124</v>
      </c>
      <c r="C11" s="1">
        <v>44508</v>
      </c>
      <c r="D11" t="s">
        <v>208</v>
      </c>
      <c r="E11" t="s">
        <v>209</v>
      </c>
      <c r="F11" t="s">
        <v>228</v>
      </c>
      <c r="G11" t="s">
        <v>211</v>
      </c>
      <c r="H11" t="s">
        <v>212</v>
      </c>
    </row>
    <row r="12" spans="1:8" x14ac:dyDescent="0.35">
      <c r="A12" t="s">
        <v>251</v>
      </c>
      <c r="B12" t="s">
        <v>125</v>
      </c>
      <c r="C12" s="1">
        <v>45390</v>
      </c>
      <c r="D12" t="s">
        <v>208</v>
      </c>
      <c r="E12" t="s">
        <v>209</v>
      </c>
      <c r="F12" t="s">
        <v>252</v>
      </c>
      <c r="G12" t="s">
        <v>211</v>
      </c>
      <c r="H12" t="s">
        <v>212</v>
      </c>
    </row>
    <row r="13" spans="1:8" x14ac:dyDescent="0.35">
      <c r="A13" t="s">
        <v>261</v>
      </c>
      <c r="B13" t="s">
        <v>126</v>
      </c>
      <c r="C13" s="1">
        <v>44641</v>
      </c>
      <c r="D13" t="s">
        <v>208</v>
      </c>
      <c r="E13" t="s">
        <v>209</v>
      </c>
      <c r="F13" t="s">
        <v>214</v>
      </c>
      <c r="G13" t="s">
        <v>211</v>
      </c>
      <c r="H13" t="s">
        <v>212</v>
      </c>
    </row>
    <row r="14" spans="1:8" x14ac:dyDescent="0.35">
      <c r="A14" t="s">
        <v>239</v>
      </c>
      <c r="B14" t="s">
        <v>127</v>
      </c>
      <c r="C14" s="1">
        <v>45527</v>
      </c>
      <c r="D14" t="s">
        <v>208</v>
      </c>
      <c r="E14" t="s">
        <v>209</v>
      </c>
      <c r="F14" t="s">
        <v>210</v>
      </c>
      <c r="G14" t="s">
        <v>211</v>
      </c>
      <c r="H14" t="s">
        <v>212</v>
      </c>
    </row>
    <row r="15" spans="1:8" x14ac:dyDescent="0.35">
      <c r="A15" t="s">
        <v>259</v>
      </c>
      <c r="B15" t="s">
        <v>128</v>
      </c>
      <c r="C15" s="1">
        <v>45119</v>
      </c>
      <c r="D15" t="s">
        <v>208</v>
      </c>
      <c r="E15" t="s">
        <v>209</v>
      </c>
      <c r="F15" t="s">
        <v>228</v>
      </c>
      <c r="G15" t="s">
        <v>211</v>
      </c>
      <c r="H15" t="s">
        <v>212</v>
      </c>
    </row>
    <row r="16" spans="1:8" x14ac:dyDescent="0.35">
      <c r="A16" t="s">
        <v>301</v>
      </c>
      <c r="B16" t="s">
        <v>129</v>
      </c>
      <c r="C16" s="1">
        <v>43475</v>
      </c>
      <c r="D16" t="s">
        <v>208</v>
      </c>
      <c r="E16" t="s">
        <v>209</v>
      </c>
      <c r="F16" t="s">
        <v>333</v>
      </c>
      <c r="G16" t="s">
        <v>211</v>
      </c>
      <c r="H16" t="s">
        <v>212</v>
      </c>
    </row>
    <row r="17" spans="1:8" x14ac:dyDescent="0.35">
      <c r="A17" t="s">
        <v>287</v>
      </c>
      <c r="B17" t="s">
        <v>130</v>
      </c>
      <c r="C17" s="1">
        <v>45145</v>
      </c>
      <c r="D17" t="s">
        <v>208</v>
      </c>
      <c r="E17" t="s">
        <v>209</v>
      </c>
      <c r="F17" t="s">
        <v>217</v>
      </c>
      <c r="G17" t="s">
        <v>211</v>
      </c>
      <c r="H17" t="s">
        <v>212</v>
      </c>
    </row>
    <row r="18" spans="1:8" x14ac:dyDescent="0.35">
      <c r="A18" t="s">
        <v>302</v>
      </c>
      <c r="B18" t="s">
        <v>131</v>
      </c>
      <c r="C18" s="1"/>
    </row>
    <row r="19" spans="1:8" x14ac:dyDescent="0.35">
      <c r="A19" t="s">
        <v>282</v>
      </c>
      <c r="B19" t="s">
        <v>132</v>
      </c>
      <c r="C19" s="1">
        <v>45056</v>
      </c>
      <c r="D19" t="s">
        <v>208</v>
      </c>
      <c r="E19" t="s">
        <v>209</v>
      </c>
      <c r="F19" t="s">
        <v>220</v>
      </c>
      <c r="G19" t="s">
        <v>211</v>
      </c>
      <c r="H19" t="s">
        <v>212</v>
      </c>
    </row>
    <row r="20" spans="1:8" x14ac:dyDescent="0.35">
      <c r="A20" t="s">
        <v>276</v>
      </c>
      <c r="B20" t="s">
        <v>133</v>
      </c>
      <c r="C20" s="1">
        <v>45517</v>
      </c>
      <c r="D20" t="s">
        <v>208</v>
      </c>
      <c r="E20" t="s">
        <v>209</v>
      </c>
      <c r="F20" t="s">
        <v>277</v>
      </c>
      <c r="G20" t="s">
        <v>211</v>
      </c>
      <c r="H20" t="s">
        <v>212</v>
      </c>
    </row>
    <row r="21" spans="1:8" x14ac:dyDescent="0.35">
      <c r="A21" t="s">
        <v>229</v>
      </c>
      <c r="B21" t="s">
        <v>134</v>
      </c>
      <c r="C21" s="1">
        <v>44242</v>
      </c>
      <c r="D21" t="s">
        <v>208</v>
      </c>
      <c r="E21" t="s">
        <v>209</v>
      </c>
      <c r="F21" t="s">
        <v>230</v>
      </c>
      <c r="G21" t="s">
        <v>211</v>
      </c>
      <c r="H21" t="s">
        <v>212</v>
      </c>
    </row>
    <row r="22" spans="1:8" x14ac:dyDescent="0.35">
      <c r="A22" t="s">
        <v>293</v>
      </c>
      <c r="B22" t="s">
        <v>135</v>
      </c>
      <c r="C22" s="1">
        <v>44229</v>
      </c>
      <c r="D22" t="s">
        <v>208</v>
      </c>
      <c r="E22" t="s">
        <v>209</v>
      </c>
      <c r="F22" t="s">
        <v>217</v>
      </c>
      <c r="G22" t="s">
        <v>211</v>
      </c>
      <c r="H22" t="s">
        <v>212</v>
      </c>
    </row>
    <row r="23" spans="1:8" x14ac:dyDescent="0.35">
      <c r="A23" t="s">
        <v>302</v>
      </c>
      <c r="B23" t="s">
        <v>136</v>
      </c>
      <c r="C23" s="1"/>
    </row>
    <row r="24" spans="1:8" x14ac:dyDescent="0.35">
      <c r="A24" t="s">
        <v>243</v>
      </c>
      <c r="B24" t="s">
        <v>137</v>
      </c>
      <c r="C24" s="1">
        <v>45323</v>
      </c>
      <c r="D24" t="s">
        <v>208</v>
      </c>
      <c r="E24" t="s">
        <v>209</v>
      </c>
      <c r="F24" t="s">
        <v>210</v>
      </c>
      <c r="G24" t="s">
        <v>211</v>
      </c>
      <c r="H24" t="s">
        <v>212</v>
      </c>
    </row>
    <row r="25" spans="1:8" x14ac:dyDescent="0.35">
      <c r="A25" t="s">
        <v>240</v>
      </c>
      <c r="B25" t="s">
        <v>138</v>
      </c>
      <c r="C25" s="1">
        <v>44580</v>
      </c>
      <c r="D25" t="s">
        <v>208</v>
      </c>
      <c r="E25" t="s">
        <v>209</v>
      </c>
      <c r="F25" t="s">
        <v>214</v>
      </c>
      <c r="G25" t="s">
        <v>238</v>
      </c>
      <c r="H25" t="s">
        <v>212</v>
      </c>
    </row>
    <row r="26" spans="1:8" x14ac:dyDescent="0.35">
      <c r="A26" t="s">
        <v>264</v>
      </c>
      <c r="B26" t="s">
        <v>139</v>
      </c>
      <c r="C26" s="1">
        <v>44494</v>
      </c>
      <c r="D26" t="s">
        <v>208</v>
      </c>
      <c r="E26" t="s">
        <v>209</v>
      </c>
      <c r="F26" t="s">
        <v>258</v>
      </c>
      <c r="G26" t="s">
        <v>211</v>
      </c>
      <c r="H26" t="s">
        <v>212</v>
      </c>
    </row>
    <row r="27" spans="1:8" x14ac:dyDescent="0.35">
      <c r="A27" t="s">
        <v>273</v>
      </c>
      <c r="B27" t="s">
        <v>140</v>
      </c>
      <c r="C27" s="1">
        <v>44564</v>
      </c>
      <c r="D27" t="s">
        <v>208</v>
      </c>
      <c r="E27" t="s">
        <v>209</v>
      </c>
      <c r="F27" t="s">
        <v>258</v>
      </c>
      <c r="G27" t="s">
        <v>211</v>
      </c>
      <c r="H27" t="s">
        <v>212</v>
      </c>
    </row>
    <row r="28" spans="1:8" x14ac:dyDescent="0.35">
      <c r="A28" t="s">
        <v>244</v>
      </c>
      <c r="B28" t="s">
        <v>141</v>
      </c>
      <c r="C28" s="1">
        <v>45586</v>
      </c>
      <c r="D28" t="s">
        <v>208</v>
      </c>
      <c r="E28" t="s">
        <v>209</v>
      </c>
      <c r="F28" t="s">
        <v>245</v>
      </c>
      <c r="G28" t="s">
        <v>211</v>
      </c>
      <c r="H28" t="s">
        <v>212</v>
      </c>
    </row>
    <row r="29" spans="1:8" x14ac:dyDescent="0.35">
      <c r="A29" t="s">
        <v>302</v>
      </c>
      <c r="B29" t="s">
        <v>142</v>
      </c>
      <c r="C29" s="1"/>
    </row>
    <row r="30" spans="1:8" x14ac:dyDescent="0.35">
      <c r="A30" t="s">
        <v>225</v>
      </c>
      <c r="B30" t="s">
        <v>143</v>
      </c>
      <c r="C30" s="1">
        <v>45699</v>
      </c>
      <c r="D30" t="s">
        <v>208</v>
      </c>
      <c r="E30" t="s">
        <v>209</v>
      </c>
      <c r="F30" t="s">
        <v>226</v>
      </c>
      <c r="G30" t="s">
        <v>211</v>
      </c>
      <c r="H30" t="s">
        <v>212</v>
      </c>
    </row>
    <row r="31" spans="1:8" x14ac:dyDescent="0.35">
      <c r="A31" t="s">
        <v>246</v>
      </c>
      <c r="B31" t="s">
        <v>144</v>
      </c>
      <c r="C31" s="1">
        <v>45600</v>
      </c>
      <c r="D31" t="s">
        <v>208</v>
      </c>
      <c r="E31" t="s">
        <v>209</v>
      </c>
      <c r="F31" t="s">
        <v>247</v>
      </c>
      <c r="G31" t="s">
        <v>211</v>
      </c>
      <c r="H31" t="s">
        <v>212</v>
      </c>
    </row>
    <row r="32" spans="1:8" x14ac:dyDescent="0.35">
      <c r="A32" t="s">
        <v>267</v>
      </c>
      <c r="B32" t="s">
        <v>145</v>
      </c>
      <c r="C32" s="1">
        <v>45293</v>
      </c>
      <c r="D32" t="s">
        <v>208</v>
      </c>
      <c r="E32" t="s">
        <v>209</v>
      </c>
      <c r="F32" t="s">
        <v>223</v>
      </c>
      <c r="G32" t="s">
        <v>211</v>
      </c>
      <c r="H32" t="s">
        <v>212</v>
      </c>
    </row>
    <row r="33" spans="1:8" x14ac:dyDescent="0.35">
      <c r="A33" t="s">
        <v>281</v>
      </c>
      <c r="B33" t="s">
        <v>146</v>
      </c>
      <c r="C33" s="1">
        <v>42353</v>
      </c>
      <c r="D33" t="s">
        <v>208</v>
      </c>
      <c r="E33" t="s">
        <v>209</v>
      </c>
      <c r="F33" t="s">
        <v>258</v>
      </c>
      <c r="G33" t="s">
        <v>211</v>
      </c>
      <c r="H33" t="s">
        <v>212</v>
      </c>
    </row>
    <row r="34" spans="1:8" x14ac:dyDescent="0.35">
      <c r="A34" t="s">
        <v>302</v>
      </c>
      <c r="B34" t="s">
        <v>147</v>
      </c>
      <c r="C34" s="1"/>
    </row>
    <row r="35" spans="1:8" x14ac:dyDescent="0.35">
      <c r="A35" t="s">
        <v>227</v>
      </c>
      <c r="B35" t="s">
        <v>148</v>
      </c>
      <c r="C35" s="1">
        <v>42663</v>
      </c>
      <c r="D35" t="s">
        <v>208</v>
      </c>
      <c r="E35" t="s">
        <v>209</v>
      </c>
      <c r="F35" t="s">
        <v>228</v>
      </c>
      <c r="G35" t="s">
        <v>211</v>
      </c>
      <c r="H35" t="s">
        <v>212</v>
      </c>
    </row>
    <row r="36" spans="1:8" x14ac:dyDescent="0.35">
      <c r="A36" t="s">
        <v>233</v>
      </c>
      <c r="B36" t="s">
        <v>149</v>
      </c>
      <c r="C36" s="1">
        <v>45293</v>
      </c>
      <c r="D36" t="s">
        <v>208</v>
      </c>
      <c r="E36" t="s">
        <v>209</v>
      </c>
      <c r="F36" t="s">
        <v>223</v>
      </c>
      <c r="G36" t="s">
        <v>211</v>
      </c>
      <c r="H36" t="s">
        <v>212</v>
      </c>
    </row>
    <row r="37" spans="1:8" x14ac:dyDescent="0.35">
      <c r="A37" t="s">
        <v>215</v>
      </c>
      <c r="B37" t="s">
        <v>150</v>
      </c>
      <c r="C37" s="1">
        <v>43535</v>
      </c>
      <c r="D37" t="s">
        <v>208</v>
      </c>
      <c r="E37" t="s">
        <v>209</v>
      </c>
      <c r="F37" t="s">
        <v>214</v>
      </c>
      <c r="G37" t="s">
        <v>211</v>
      </c>
      <c r="H37" t="s">
        <v>212</v>
      </c>
    </row>
    <row r="38" spans="1:8" x14ac:dyDescent="0.35">
      <c r="A38" t="s">
        <v>260</v>
      </c>
      <c r="B38" t="s">
        <v>151</v>
      </c>
      <c r="C38" s="1">
        <v>44321</v>
      </c>
      <c r="D38" t="s">
        <v>208</v>
      </c>
      <c r="E38" t="s">
        <v>209</v>
      </c>
      <c r="F38" t="s">
        <v>230</v>
      </c>
      <c r="G38" t="s">
        <v>211</v>
      </c>
      <c r="H38" t="s">
        <v>212</v>
      </c>
    </row>
    <row r="39" spans="1:8" x14ac:dyDescent="0.35">
      <c r="A39" t="s">
        <v>207</v>
      </c>
      <c r="B39" t="s">
        <v>152</v>
      </c>
      <c r="C39" s="1">
        <v>45161</v>
      </c>
      <c r="D39" t="s">
        <v>208</v>
      </c>
      <c r="E39" t="s">
        <v>209</v>
      </c>
      <c r="F39" t="s">
        <v>210</v>
      </c>
      <c r="G39" t="s">
        <v>211</v>
      </c>
      <c r="H39" t="s">
        <v>212</v>
      </c>
    </row>
    <row r="40" spans="1:8" x14ac:dyDescent="0.35">
      <c r="A40" t="s">
        <v>269</v>
      </c>
      <c r="B40" t="s">
        <v>153</v>
      </c>
      <c r="C40" s="1">
        <v>41611</v>
      </c>
      <c r="D40" t="s">
        <v>208</v>
      </c>
      <c r="E40" t="s">
        <v>209</v>
      </c>
      <c r="F40" t="s">
        <v>258</v>
      </c>
      <c r="G40" t="s">
        <v>211</v>
      </c>
      <c r="H40" t="s">
        <v>212</v>
      </c>
    </row>
    <row r="41" spans="1:8" x14ac:dyDescent="0.35">
      <c r="A41" t="s">
        <v>294</v>
      </c>
      <c r="B41" t="s">
        <v>154</v>
      </c>
      <c r="C41" s="1">
        <v>42868</v>
      </c>
      <c r="D41" t="s">
        <v>208</v>
      </c>
      <c r="E41" t="s">
        <v>209</v>
      </c>
      <c r="F41" t="s">
        <v>214</v>
      </c>
      <c r="G41" t="s">
        <v>211</v>
      </c>
      <c r="H41" t="s">
        <v>212</v>
      </c>
    </row>
    <row r="42" spans="1:8" x14ac:dyDescent="0.35">
      <c r="A42" t="s">
        <v>236</v>
      </c>
      <c r="B42" t="s">
        <v>155</v>
      </c>
      <c r="C42" s="1">
        <v>44610</v>
      </c>
      <c r="D42" t="s">
        <v>208</v>
      </c>
      <c r="E42" t="s">
        <v>209</v>
      </c>
      <c r="F42" t="s">
        <v>237</v>
      </c>
      <c r="G42" t="s">
        <v>238</v>
      </c>
      <c r="H42" t="s">
        <v>212</v>
      </c>
    </row>
    <row r="43" spans="1:8" x14ac:dyDescent="0.35">
      <c r="A43" t="s">
        <v>242</v>
      </c>
      <c r="B43" t="s">
        <v>156</v>
      </c>
      <c r="C43" s="1">
        <v>45796</v>
      </c>
      <c r="D43" t="s">
        <v>208</v>
      </c>
      <c r="E43" t="s">
        <v>209</v>
      </c>
      <c r="F43" t="s">
        <v>222</v>
      </c>
      <c r="G43" t="s">
        <v>211</v>
      </c>
      <c r="H43" t="s">
        <v>212</v>
      </c>
    </row>
    <row r="44" spans="1:8" x14ac:dyDescent="0.35">
      <c r="A44" t="s">
        <v>289</v>
      </c>
      <c r="B44" t="s">
        <v>157</v>
      </c>
      <c r="C44" s="1">
        <v>45394</v>
      </c>
      <c r="D44" t="s">
        <v>208</v>
      </c>
      <c r="E44" t="s">
        <v>209</v>
      </c>
      <c r="F44" t="s">
        <v>210</v>
      </c>
      <c r="G44" t="s">
        <v>211</v>
      </c>
      <c r="H44" t="s">
        <v>212</v>
      </c>
    </row>
    <row r="45" spans="1:8" x14ac:dyDescent="0.35">
      <c r="A45" t="s">
        <v>241</v>
      </c>
      <c r="B45" t="s">
        <v>158</v>
      </c>
      <c r="C45" s="1">
        <v>43772</v>
      </c>
      <c r="D45" t="s">
        <v>208</v>
      </c>
      <c r="E45" t="s">
        <v>209</v>
      </c>
      <c r="F45" t="s">
        <v>222</v>
      </c>
      <c r="G45" t="s">
        <v>211</v>
      </c>
      <c r="H45" t="s">
        <v>212</v>
      </c>
    </row>
    <row r="46" spans="1:8" x14ac:dyDescent="0.35">
      <c r="A46" t="s">
        <v>296</v>
      </c>
      <c r="B46" t="s">
        <v>159</v>
      </c>
      <c r="C46" s="1">
        <v>45048</v>
      </c>
      <c r="D46" t="s">
        <v>208</v>
      </c>
      <c r="E46" t="s">
        <v>209</v>
      </c>
      <c r="F46" t="s">
        <v>245</v>
      </c>
      <c r="G46" t="s">
        <v>211</v>
      </c>
      <c r="H46" t="s">
        <v>212</v>
      </c>
    </row>
    <row r="47" spans="1:8" x14ac:dyDescent="0.35">
      <c r="A47" t="s">
        <v>302</v>
      </c>
      <c r="B47" t="s">
        <v>113</v>
      </c>
      <c r="C47" s="1"/>
    </row>
    <row r="48" spans="1:8" x14ac:dyDescent="0.35">
      <c r="A48" t="s">
        <v>283</v>
      </c>
      <c r="B48" t="s">
        <v>160</v>
      </c>
      <c r="C48" s="1">
        <v>45812</v>
      </c>
      <c r="D48" t="s">
        <v>208</v>
      </c>
      <c r="E48" t="s">
        <v>209</v>
      </c>
      <c r="F48" t="s">
        <v>222</v>
      </c>
      <c r="G48" t="s">
        <v>211</v>
      </c>
      <c r="H48" t="s">
        <v>212</v>
      </c>
    </row>
    <row r="49" spans="1:8" x14ac:dyDescent="0.35">
      <c r="A49" t="s">
        <v>274</v>
      </c>
      <c r="B49" t="s">
        <v>161</v>
      </c>
      <c r="C49" s="1">
        <v>45271</v>
      </c>
      <c r="D49" t="s">
        <v>208</v>
      </c>
      <c r="E49" t="s">
        <v>209</v>
      </c>
      <c r="F49" t="s">
        <v>252</v>
      </c>
      <c r="G49" t="s">
        <v>211</v>
      </c>
      <c r="H49" t="s">
        <v>212</v>
      </c>
    </row>
    <row r="50" spans="1:8" x14ac:dyDescent="0.35">
      <c r="A50" t="s">
        <v>302</v>
      </c>
      <c r="B50" t="s">
        <v>162</v>
      </c>
      <c r="C50" s="1"/>
    </row>
    <row r="51" spans="1:8" x14ac:dyDescent="0.35">
      <c r="A51" t="s">
        <v>297</v>
      </c>
      <c r="B51" t="s">
        <v>163</v>
      </c>
      <c r="C51" s="1">
        <v>45253</v>
      </c>
      <c r="D51" t="s">
        <v>208</v>
      </c>
      <c r="E51" t="s">
        <v>209</v>
      </c>
      <c r="F51" t="s">
        <v>210</v>
      </c>
      <c r="G51" t="s">
        <v>211</v>
      </c>
      <c r="H51" t="s">
        <v>212</v>
      </c>
    </row>
    <row r="52" spans="1:8" x14ac:dyDescent="0.35">
      <c r="A52" t="s">
        <v>262</v>
      </c>
      <c r="B52" t="s">
        <v>164</v>
      </c>
      <c r="C52" s="1">
        <v>45817</v>
      </c>
      <c r="D52" t="s">
        <v>208</v>
      </c>
      <c r="E52" t="s">
        <v>209</v>
      </c>
      <c r="F52" t="s">
        <v>223</v>
      </c>
      <c r="G52" t="s">
        <v>211</v>
      </c>
      <c r="H52" t="s">
        <v>212</v>
      </c>
    </row>
    <row r="53" spans="1:8" x14ac:dyDescent="0.35">
      <c r="A53" t="s">
        <v>290</v>
      </c>
      <c r="B53" t="s">
        <v>165</v>
      </c>
      <c r="C53" s="1">
        <v>43959</v>
      </c>
      <c r="D53" t="s">
        <v>208</v>
      </c>
      <c r="E53" t="s">
        <v>209</v>
      </c>
      <c r="F53" t="s">
        <v>258</v>
      </c>
      <c r="G53" t="s">
        <v>211</v>
      </c>
      <c r="H53" t="s">
        <v>212</v>
      </c>
    </row>
    <row r="54" spans="1:8" x14ac:dyDescent="0.35">
      <c r="A54" t="s">
        <v>302</v>
      </c>
      <c r="B54" t="s">
        <v>114</v>
      </c>
      <c r="C54" s="1"/>
    </row>
    <row r="55" spans="1:8" x14ac:dyDescent="0.35">
      <c r="A55" t="s">
        <v>265</v>
      </c>
      <c r="B55" t="s">
        <v>166</v>
      </c>
      <c r="C55" s="1">
        <v>45005</v>
      </c>
      <c r="D55" t="s">
        <v>208</v>
      </c>
      <c r="E55" t="s">
        <v>209</v>
      </c>
      <c r="F55" t="s">
        <v>266</v>
      </c>
      <c r="G55" t="s">
        <v>211</v>
      </c>
      <c r="H55" t="s">
        <v>212</v>
      </c>
    </row>
    <row r="56" spans="1:8" x14ac:dyDescent="0.35">
      <c r="A56" t="s">
        <v>234</v>
      </c>
      <c r="B56" t="s">
        <v>167</v>
      </c>
      <c r="C56" s="1">
        <v>45323</v>
      </c>
      <c r="D56" t="s">
        <v>208</v>
      </c>
      <c r="E56" t="s">
        <v>209</v>
      </c>
      <c r="F56" t="s">
        <v>235</v>
      </c>
      <c r="G56" t="s">
        <v>211</v>
      </c>
      <c r="H56" t="s">
        <v>212</v>
      </c>
    </row>
    <row r="57" spans="1:8" x14ac:dyDescent="0.35">
      <c r="A57" t="s">
        <v>292</v>
      </c>
      <c r="B57" t="s">
        <v>168</v>
      </c>
      <c r="C57" s="1">
        <v>45245</v>
      </c>
      <c r="D57" t="s">
        <v>208</v>
      </c>
      <c r="E57" t="s">
        <v>209</v>
      </c>
      <c r="F57" t="s">
        <v>210</v>
      </c>
      <c r="G57" t="s">
        <v>211</v>
      </c>
      <c r="H57" t="s">
        <v>212</v>
      </c>
    </row>
    <row r="58" spans="1:8" x14ac:dyDescent="0.35">
      <c r="A58" t="s">
        <v>285</v>
      </c>
      <c r="B58" t="s">
        <v>169</v>
      </c>
      <c r="C58" s="1"/>
      <c r="D58" t="s">
        <v>208</v>
      </c>
      <c r="E58" t="s">
        <v>209</v>
      </c>
      <c r="F58" t="s">
        <v>286</v>
      </c>
      <c r="G58" t="s">
        <v>211</v>
      </c>
      <c r="H58" t="s">
        <v>212</v>
      </c>
    </row>
    <row r="59" spans="1:8" x14ac:dyDescent="0.35">
      <c r="A59" t="s">
        <v>270</v>
      </c>
      <c r="B59" t="s">
        <v>170</v>
      </c>
      <c r="C59" s="1">
        <v>45537</v>
      </c>
      <c r="D59" t="s">
        <v>208</v>
      </c>
      <c r="E59" t="s">
        <v>209</v>
      </c>
      <c r="F59" t="s">
        <v>223</v>
      </c>
      <c r="G59" t="s">
        <v>211</v>
      </c>
      <c r="H59" t="s">
        <v>212</v>
      </c>
    </row>
    <row r="60" spans="1:8" x14ac:dyDescent="0.35">
      <c r="A60" t="s">
        <v>255</v>
      </c>
      <c r="B60" t="s">
        <v>171</v>
      </c>
      <c r="C60" s="1">
        <v>45712</v>
      </c>
      <c r="D60" t="s">
        <v>208</v>
      </c>
      <c r="E60" t="s">
        <v>209</v>
      </c>
      <c r="F60" t="s">
        <v>210</v>
      </c>
      <c r="G60" t="s">
        <v>211</v>
      </c>
      <c r="H60" t="s">
        <v>212</v>
      </c>
    </row>
    <row r="61" spans="1:8" x14ac:dyDescent="0.35">
      <c r="A61" t="s">
        <v>275</v>
      </c>
      <c r="B61" t="s">
        <v>172</v>
      </c>
      <c r="C61" s="1">
        <v>45824</v>
      </c>
      <c r="D61" t="s">
        <v>208</v>
      </c>
      <c r="E61" t="s">
        <v>209</v>
      </c>
      <c r="F61" t="s">
        <v>220</v>
      </c>
      <c r="G61" t="s">
        <v>211</v>
      </c>
      <c r="H61" t="s">
        <v>212</v>
      </c>
    </row>
    <row r="62" spans="1:8" x14ac:dyDescent="0.35">
      <c r="A62" t="s">
        <v>302</v>
      </c>
      <c r="B62" t="s">
        <v>173</v>
      </c>
      <c r="C62" s="1"/>
    </row>
    <row r="63" spans="1:8" x14ac:dyDescent="0.35">
      <c r="A63" t="s">
        <v>279</v>
      </c>
      <c r="B63" t="s">
        <v>174</v>
      </c>
      <c r="C63" s="1">
        <v>44333</v>
      </c>
      <c r="D63" t="s">
        <v>208</v>
      </c>
      <c r="E63" t="s">
        <v>209</v>
      </c>
      <c r="F63" t="s">
        <v>230</v>
      </c>
      <c r="G63" t="s">
        <v>211</v>
      </c>
      <c r="H63" t="s">
        <v>212</v>
      </c>
    </row>
    <row r="64" spans="1:8" x14ac:dyDescent="0.35">
      <c r="A64" t="s">
        <v>302</v>
      </c>
      <c r="B64" t="s">
        <v>175</v>
      </c>
      <c r="C64" s="1"/>
    </row>
    <row r="65" spans="1:8" x14ac:dyDescent="0.35">
      <c r="A65" t="s">
        <v>298</v>
      </c>
      <c r="B65" t="s">
        <v>176</v>
      </c>
      <c r="C65" s="1">
        <v>43479</v>
      </c>
      <c r="D65" t="s">
        <v>208</v>
      </c>
      <c r="E65" t="s">
        <v>209</v>
      </c>
      <c r="F65" t="s">
        <v>237</v>
      </c>
      <c r="G65" t="s">
        <v>211</v>
      </c>
      <c r="H65" t="s">
        <v>212</v>
      </c>
    </row>
    <row r="66" spans="1:8" x14ac:dyDescent="0.35">
      <c r="A66" t="s">
        <v>291</v>
      </c>
      <c r="B66" t="s">
        <v>177</v>
      </c>
      <c r="C66" s="1">
        <v>44557</v>
      </c>
      <c r="D66" t="s">
        <v>208</v>
      </c>
      <c r="E66" t="s">
        <v>209</v>
      </c>
      <c r="F66" t="s">
        <v>220</v>
      </c>
      <c r="G66" t="s">
        <v>211</v>
      </c>
      <c r="H66" t="s">
        <v>212</v>
      </c>
    </row>
    <row r="67" spans="1:8" x14ac:dyDescent="0.35">
      <c r="A67" t="s">
        <v>213</v>
      </c>
      <c r="B67" t="s">
        <v>178</v>
      </c>
      <c r="C67" s="1">
        <v>44835</v>
      </c>
      <c r="D67" t="s">
        <v>208</v>
      </c>
      <c r="E67" t="s">
        <v>209</v>
      </c>
      <c r="F67" t="s">
        <v>214</v>
      </c>
      <c r="G67" t="s">
        <v>211</v>
      </c>
      <c r="H67" t="s">
        <v>212</v>
      </c>
    </row>
    <row r="68" spans="1:8" x14ac:dyDescent="0.35">
      <c r="A68" t="s">
        <v>302</v>
      </c>
      <c r="B68" t="s">
        <v>179</v>
      </c>
      <c r="C68" s="1"/>
    </row>
    <row r="69" spans="1:8" x14ac:dyDescent="0.35">
      <c r="A69" t="s">
        <v>284</v>
      </c>
      <c r="B69" t="s">
        <v>180</v>
      </c>
      <c r="C69" s="1">
        <v>45827</v>
      </c>
      <c r="D69" t="s">
        <v>208</v>
      </c>
      <c r="E69" t="s">
        <v>209</v>
      </c>
      <c r="F69" t="s">
        <v>249</v>
      </c>
      <c r="G69" t="s">
        <v>211</v>
      </c>
      <c r="H69" t="s">
        <v>212</v>
      </c>
    </row>
    <row r="70" spans="1:8" x14ac:dyDescent="0.35">
      <c r="A70" t="s">
        <v>271</v>
      </c>
      <c r="B70" t="s">
        <v>181</v>
      </c>
      <c r="C70" s="1">
        <v>44321</v>
      </c>
      <c r="D70" t="s">
        <v>208</v>
      </c>
      <c r="E70" t="s">
        <v>209</v>
      </c>
      <c r="F70" t="s">
        <v>228</v>
      </c>
      <c r="G70" t="s">
        <v>211</v>
      </c>
      <c r="H70" t="s">
        <v>212</v>
      </c>
    </row>
    <row r="71" spans="1:8" x14ac:dyDescent="0.35">
      <c r="A71" t="s">
        <v>278</v>
      </c>
      <c r="B71" t="s">
        <v>182</v>
      </c>
      <c r="C71" s="1">
        <v>45425</v>
      </c>
      <c r="D71" t="s">
        <v>208</v>
      </c>
      <c r="E71" t="s">
        <v>209</v>
      </c>
      <c r="F71" t="s">
        <v>220</v>
      </c>
      <c r="G71" t="s">
        <v>211</v>
      </c>
      <c r="H71" t="s">
        <v>212</v>
      </c>
    </row>
    <row r="72" spans="1:8" x14ac:dyDescent="0.35">
      <c r="A72" t="s">
        <v>254</v>
      </c>
      <c r="B72" t="s">
        <v>183</v>
      </c>
      <c r="C72" s="1">
        <v>45659</v>
      </c>
      <c r="D72" t="s">
        <v>208</v>
      </c>
      <c r="E72" t="s">
        <v>209</v>
      </c>
      <c r="F72" t="s">
        <v>223</v>
      </c>
      <c r="G72" t="s">
        <v>211</v>
      </c>
      <c r="H72" t="s">
        <v>212</v>
      </c>
    </row>
    <row r="73" spans="1:8" x14ac:dyDescent="0.35">
      <c r="A73" t="s">
        <v>218</v>
      </c>
      <c r="B73" t="s">
        <v>184</v>
      </c>
      <c r="C73" s="1">
        <v>45470</v>
      </c>
      <c r="D73" t="s">
        <v>208</v>
      </c>
      <c r="E73" t="s">
        <v>209</v>
      </c>
      <c r="F73" t="s">
        <v>210</v>
      </c>
      <c r="G73" t="s">
        <v>211</v>
      </c>
      <c r="H73" t="s">
        <v>212</v>
      </c>
    </row>
    <row r="74" spans="1:8" x14ac:dyDescent="0.35">
      <c r="A74" t="s">
        <v>263</v>
      </c>
      <c r="B74" t="s">
        <v>185</v>
      </c>
      <c r="C74" s="1">
        <v>44291</v>
      </c>
      <c r="D74" t="s">
        <v>208</v>
      </c>
      <c r="E74" t="s">
        <v>209</v>
      </c>
      <c r="F74" t="s">
        <v>217</v>
      </c>
      <c r="G74" t="s">
        <v>211</v>
      </c>
      <c r="H74" t="s">
        <v>212</v>
      </c>
    </row>
    <row r="75" spans="1:8" x14ac:dyDescent="0.35">
      <c r="A75" t="s">
        <v>302</v>
      </c>
      <c r="B75" t="s">
        <v>186</v>
      </c>
      <c r="C75" s="1"/>
    </row>
    <row r="76" spans="1:8" x14ac:dyDescent="0.35">
      <c r="A76" t="s">
        <v>302</v>
      </c>
      <c r="B76" t="s">
        <v>187</v>
      </c>
      <c r="C76" s="1"/>
    </row>
    <row r="77" spans="1:8" x14ac:dyDescent="0.35">
      <c r="A77" t="s">
        <v>280</v>
      </c>
      <c r="B77" t="s">
        <v>188</v>
      </c>
      <c r="C77" s="1">
        <v>44242</v>
      </c>
      <c r="D77" t="s">
        <v>208</v>
      </c>
      <c r="E77" t="s">
        <v>209</v>
      </c>
      <c r="F77" t="s">
        <v>230</v>
      </c>
      <c r="G77" t="s">
        <v>211</v>
      </c>
      <c r="H77" t="s">
        <v>212</v>
      </c>
    </row>
    <row r="78" spans="1:8" x14ac:dyDescent="0.35">
      <c r="A78" t="s">
        <v>300</v>
      </c>
      <c r="B78" t="s">
        <v>189</v>
      </c>
      <c r="C78" s="1">
        <v>43524</v>
      </c>
      <c r="D78" t="s">
        <v>208</v>
      </c>
      <c r="E78" t="s">
        <v>209</v>
      </c>
      <c r="F78" t="s">
        <v>222</v>
      </c>
      <c r="G78" t="s">
        <v>211</v>
      </c>
      <c r="H78" t="s">
        <v>212</v>
      </c>
    </row>
    <row r="79" spans="1:8" x14ac:dyDescent="0.35">
      <c r="A79" t="s">
        <v>272</v>
      </c>
      <c r="B79" t="s">
        <v>190</v>
      </c>
      <c r="C79" s="1">
        <v>44608</v>
      </c>
      <c r="D79" t="s">
        <v>208</v>
      </c>
      <c r="E79" t="s">
        <v>209</v>
      </c>
      <c r="F79" t="s">
        <v>214</v>
      </c>
      <c r="G79" t="s">
        <v>211</v>
      </c>
      <c r="H79" t="s">
        <v>212</v>
      </c>
    </row>
    <row r="80" spans="1:8" x14ac:dyDescent="0.35">
      <c r="A80" t="s">
        <v>224</v>
      </c>
      <c r="B80" t="s">
        <v>191</v>
      </c>
      <c r="C80" s="1">
        <v>45646</v>
      </c>
      <c r="D80" t="s">
        <v>208</v>
      </c>
      <c r="E80" t="s">
        <v>209</v>
      </c>
      <c r="F80" t="s">
        <v>223</v>
      </c>
      <c r="G80" t="s">
        <v>211</v>
      </c>
      <c r="H80" t="s">
        <v>212</v>
      </c>
    </row>
    <row r="81" spans="1:8" x14ac:dyDescent="0.35">
      <c r="A81" t="s">
        <v>216</v>
      </c>
      <c r="B81" t="s">
        <v>192</v>
      </c>
      <c r="C81" s="1">
        <v>44539</v>
      </c>
      <c r="D81" t="s">
        <v>208</v>
      </c>
      <c r="E81" t="s">
        <v>209</v>
      </c>
      <c r="F81" t="s">
        <v>217</v>
      </c>
      <c r="G81" t="s">
        <v>211</v>
      </c>
      <c r="H81" t="s">
        <v>212</v>
      </c>
    </row>
    <row r="82" spans="1:8" x14ac:dyDescent="0.35">
      <c r="A82" t="s">
        <v>299</v>
      </c>
      <c r="B82" t="s">
        <v>193</v>
      </c>
      <c r="C82" s="1">
        <v>42415</v>
      </c>
      <c r="D82" t="s">
        <v>208</v>
      </c>
      <c r="E82" t="s">
        <v>209</v>
      </c>
      <c r="F82" t="s">
        <v>214</v>
      </c>
      <c r="G82" t="s">
        <v>211</v>
      </c>
      <c r="H82" t="s">
        <v>212</v>
      </c>
    </row>
    <row r="83" spans="1:8" x14ac:dyDescent="0.35">
      <c r="A83" t="s">
        <v>253</v>
      </c>
      <c r="B83" t="s">
        <v>194</v>
      </c>
      <c r="C83" s="1">
        <v>44116</v>
      </c>
      <c r="D83" t="s">
        <v>208</v>
      </c>
      <c r="E83" t="s">
        <v>209</v>
      </c>
      <c r="F83" t="s">
        <v>230</v>
      </c>
      <c r="G83" t="s">
        <v>211</v>
      </c>
      <c r="H83" t="s">
        <v>212</v>
      </c>
    </row>
    <row r="84" spans="1:8" x14ac:dyDescent="0.35">
      <c r="A84" t="s">
        <v>250</v>
      </c>
      <c r="B84" t="s">
        <v>195</v>
      </c>
      <c r="C84" s="1">
        <v>45341</v>
      </c>
      <c r="D84" t="s">
        <v>208</v>
      </c>
      <c r="E84" t="s">
        <v>209</v>
      </c>
      <c r="F84" t="s">
        <v>222</v>
      </c>
      <c r="G84" t="s">
        <v>211</v>
      </c>
      <c r="H84" t="s">
        <v>212</v>
      </c>
    </row>
    <row r="85" spans="1:8" x14ac:dyDescent="0.35">
      <c r="A85" t="s">
        <v>221</v>
      </c>
      <c r="B85" t="s">
        <v>196</v>
      </c>
      <c r="C85" s="1">
        <v>45096</v>
      </c>
      <c r="D85" t="s">
        <v>208</v>
      </c>
      <c r="E85" t="s">
        <v>209</v>
      </c>
      <c r="F85" t="s">
        <v>222</v>
      </c>
      <c r="G85" t="s">
        <v>211</v>
      </c>
      <c r="H85" t="s">
        <v>212</v>
      </c>
    </row>
    <row r="86" spans="1:8" x14ac:dyDescent="0.35">
      <c r="A86" t="s">
        <v>268</v>
      </c>
      <c r="B86" t="s">
        <v>197</v>
      </c>
      <c r="C86" s="1">
        <v>44522</v>
      </c>
      <c r="D86" t="s">
        <v>208</v>
      </c>
      <c r="E86" t="s">
        <v>209</v>
      </c>
      <c r="F86" t="s">
        <v>230</v>
      </c>
      <c r="G86" t="s">
        <v>211</v>
      </c>
      <c r="H86" t="s">
        <v>212</v>
      </c>
    </row>
    <row r="87" spans="1:8" x14ac:dyDescent="0.35">
      <c r="A87" t="s">
        <v>248</v>
      </c>
      <c r="B87" t="s">
        <v>198</v>
      </c>
      <c r="C87" s="1">
        <v>45600</v>
      </c>
      <c r="D87" t="s">
        <v>208</v>
      </c>
      <c r="E87" t="s">
        <v>209</v>
      </c>
      <c r="F87" t="s">
        <v>249</v>
      </c>
      <c r="G87" t="s">
        <v>211</v>
      </c>
      <c r="H87" t="s">
        <v>212</v>
      </c>
    </row>
    <row r="88" spans="1:8" x14ac:dyDescent="0.35">
      <c r="A88" t="s">
        <v>302</v>
      </c>
      <c r="B88" t="s">
        <v>322</v>
      </c>
      <c r="F88" t="s">
        <v>333</v>
      </c>
    </row>
    <row r="89" spans="1:8" x14ac:dyDescent="0.35">
      <c r="A89" t="s">
        <v>302</v>
      </c>
      <c r="B89" t="s">
        <v>323</v>
      </c>
      <c r="F89" t="s">
        <v>333</v>
      </c>
    </row>
    <row r="90" spans="1:8" x14ac:dyDescent="0.35">
      <c r="A90" t="s">
        <v>302</v>
      </c>
      <c r="B90" t="s">
        <v>324</v>
      </c>
      <c r="F90" t="s">
        <v>333</v>
      </c>
    </row>
    <row r="91" spans="1:8" x14ac:dyDescent="0.35">
      <c r="A91" t="s">
        <v>302</v>
      </c>
      <c r="B91" t="s">
        <v>325</v>
      </c>
      <c r="F91" t="s">
        <v>333</v>
      </c>
    </row>
    <row r="92" spans="1:8" x14ac:dyDescent="0.35">
      <c r="A92" t="s">
        <v>302</v>
      </c>
      <c r="B92" t="s">
        <v>326</v>
      </c>
      <c r="F92" t="s">
        <v>333</v>
      </c>
    </row>
    <row r="93" spans="1:8" x14ac:dyDescent="0.35">
      <c r="A93" t="s">
        <v>302</v>
      </c>
      <c r="B93" t="s">
        <v>327</v>
      </c>
      <c r="F93" t="s">
        <v>333</v>
      </c>
    </row>
    <row r="94" spans="1:8" x14ac:dyDescent="0.35">
      <c r="A94" t="s">
        <v>302</v>
      </c>
      <c r="B94" t="s">
        <v>328</v>
      </c>
      <c r="F94" t="s">
        <v>333</v>
      </c>
    </row>
    <row r="95" spans="1:8" x14ac:dyDescent="0.35">
      <c r="A95" t="s">
        <v>302</v>
      </c>
      <c r="B95" t="s">
        <v>329</v>
      </c>
      <c r="F95" t="s">
        <v>333</v>
      </c>
    </row>
    <row r="96" spans="1:8" x14ac:dyDescent="0.35">
      <c r="A96" t="s">
        <v>302</v>
      </c>
      <c r="B96" t="s">
        <v>330</v>
      </c>
      <c r="F96" t="s">
        <v>333</v>
      </c>
    </row>
    <row r="97" spans="1:6" x14ac:dyDescent="0.35">
      <c r="A97" t="s">
        <v>302</v>
      </c>
      <c r="B97" t="s">
        <v>331</v>
      </c>
      <c r="F97" t="s">
        <v>333</v>
      </c>
    </row>
    <row r="98" spans="1:6" x14ac:dyDescent="0.35">
      <c r="A98" t="s">
        <v>302</v>
      </c>
      <c r="B98" t="s">
        <v>137</v>
      </c>
      <c r="F98" t="s">
        <v>333</v>
      </c>
    </row>
  </sheetData>
  <autoFilter ref="A1:H98" xr:uid="{3B081D89-3A33-4D9D-8BE8-FE0A646481C2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C6A66BAFE114469A02E1558716582A" ma:contentTypeVersion="11" ma:contentTypeDescription="Create a new document." ma:contentTypeScope="" ma:versionID="b3c2194fc2c1ef31982134e97e435d18">
  <xsd:schema xmlns:xsd="http://www.w3.org/2001/XMLSchema" xmlns:xs="http://www.w3.org/2001/XMLSchema" xmlns:p="http://schemas.microsoft.com/office/2006/metadata/properties" xmlns:ns2="7f6a179c-06a7-4b49-a543-950f5833f154" xmlns:ns3="4188043a-9982-4fde-96bc-443ee89f9663" targetNamespace="http://schemas.microsoft.com/office/2006/metadata/properties" ma:root="true" ma:fieldsID="24fe85f20f33e9ff3a9797ceceb3828c" ns2:_="" ns3:_="">
    <xsd:import namespace="7f6a179c-06a7-4b49-a543-950f5833f154"/>
    <xsd:import namespace="4188043a-9982-4fde-96bc-443ee89f96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6a179c-06a7-4b49-a543-950f5833f1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2c688d5-8c9f-42ea-b379-5f7d706bd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88043a-9982-4fde-96bc-443ee89f966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a6af3a6-af4f-4d39-8522-8252cf6f1062}" ma:internalName="TaxCatchAll" ma:showField="CatchAllData" ma:web="4188043a-9982-4fde-96bc-443ee89f96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188043a-9982-4fde-96bc-443ee89f9663" xsi:nil="true"/>
    <lcf76f155ced4ddcb4097134ff3c332f xmlns="7f6a179c-06a7-4b49-a543-950f5833f15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84B7749-71AE-4B91-84B3-5AE8830EA1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6a179c-06a7-4b49-a543-950f5833f154"/>
    <ds:schemaRef ds:uri="4188043a-9982-4fde-96bc-443ee89f96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3B44C9F-14F8-454B-9E0B-E9EA24B9E078}">
  <ds:schemaRefs>
    <ds:schemaRef ds:uri="http://schemas.microsoft.com/office/2006/metadata/properties"/>
    <ds:schemaRef ds:uri="http://schemas.microsoft.com/office/infopath/2007/PartnerControls"/>
    <ds:schemaRef ds:uri="4188043a-9982-4fde-96bc-443ee89f9663"/>
    <ds:schemaRef ds:uri="7f6a179c-06a7-4b49-a543-950f5833f154"/>
  </ds:schemaRefs>
</ds:datastoreItem>
</file>

<file path=customXml/itemProps3.xml><?xml version="1.0" encoding="utf-8"?>
<ds:datastoreItem xmlns:ds="http://schemas.openxmlformats.org/officeDocument/2006/customXml" ds:itemID="{CB5FC9C3-F91E-4FE6-972F-0E476EA3FB1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Jitender Chaurasia</dc:creator>
  <cp:lastModifiedBy>Jitender Chaurasia</cp:lastModifiedBy>
  <dcterms:created xsi:type="dcterms:W3CDTF">2026-06-25T12:03:35Z</dcterms:created>
  <dcterms:modified xsi:type="dcterms:W3CDTF">2026-06-26T10:03:45Z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0x01010065C6A66BAFE114469A02E1558716582A</vt:lpwstr>
  </property>
  <property fmtid="{D5CDD505-2E9C-101B-9397-08002B2CF9AE}" pid="3" name="MediaServiceImageTags">
    <vt:lpwstr/>
  </property>
</Properties>
</file>